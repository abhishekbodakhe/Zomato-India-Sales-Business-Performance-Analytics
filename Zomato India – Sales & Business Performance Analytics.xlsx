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drawings/charts/chart5.xml" ContentType="application/vnd.openxmlformats-officedocument.drawingml.chart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drawings/charts/chart6.xml" ContentType="application/vnd.openxmlformats-officedocument.drawingml.char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drawings/charts/chart7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23670dd75e46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Data" sheetId="1" r:id="R852708d4ecd7415d"/>
    <x:sheet xmlns:r="http://schemas.openxmlformats.org/officeDocument/2006/relationships" name="Data Cleaning" sheetId="2" r:id="R2ab8d2fa5e934b3b"/>
    <x:sheet xmlns:r="http://schemas.openxmlformats.org/officeDocument/2006/relationships" name="Sales Transactions" sheetId="3" r:id="Red9c357737d042d3"/>
    <x:sheet xmlns:r="http://schemas.openxmlformats.org/officeDocument/2006/relationships" name="KPI Dashboard" sheetId="4" r:id="Rc97fe677fc8b4c9c"/>
    <x:sheet xmlns:r="http://schemas.openxmlformats.org/officeDocument/2006/relationships" name="Monthly Sales Analysis" sheetId="5" r:id="R1d31cc8f6fdb409c"/>
    <x:sheet xmlns:r="http://schemas.openxmlformats.org/officeDocument/2006/relationships" name="Product Performance" sheetId="6" r:id="Rdde51387272e4382"/>
    <x:sheet xmlns:r="http://schemas.openxmlformats.org/officeDocument/2006/relationships" name="Regional Performance" sheetId="7" r:id="R47d8e70c0c9a4fff"/>
    <x:sheet xmlns:r="http://schemas.openxmlformats.org/officeDocument/2006/relationships" name="Customer Segment Analysis" sheetId="8" r:id="Rae36e0733d904728"/>
    <x:sheet xmlns:r="http://schemas.openxmlformats.org/officeDocument/2006/relationships" name="Executive Summary" sheetId="9" r:id="R9795b0a4ecad47d2"/>
    <x:sheet xmlns:r="http://schemas.openxmlformats.org/officeDocument/2006/relationships" name="Forecast (Next 6 Months)" sheetId="10" r:id="Rc007a7be59d147a6"/>
  </x:sheets>
</x:workbook>
</file>

<file path=xl/sharedStrings.xml><?xml version="1.0" encoding="utf-8"?>
<x:sst xmlns:x="http://schemas.openxmlformats.org/spreadsheetml/2006/main">
  <x:si>
    <x:t xml:space="preserve">• Product mix should be monitored for both revenue concentration and margin resilience.</x:t>
  </x:si>
  <x:si>
    <x:t xml:space="preserve">• Forecast is a simple base case for planning use, not an investment recommendation.</x:t>
  </x:si>
  <x:si>
    <x:t xml:space="preserve">WORKSHEET GUIDE</x:t>
  </x:si>
</x:sst>
</file>

<file path=xl/styles.xml><?xml version="1.0" encoding="utf-8"?>
<x:styleSheet xmlns:x="http://schemas.openxmlformats.org/spreadsheetml/2006/main">
  <x:numFmts count="9">
    <x:numFmt numFmtId="164" formatCode="0.0%"/>
    <x:numFmt numFmtId="165" formatCode="\₹#,##0;[Red]\(\₹#,##0\);\-"/>
    <x:numFmt numFmtId="166" formatCode="0.0"/>
    <x:numFmt numFmtId="167" formatCode="\₹#,##0"/>
    <x:numFmt numFmtId="200" formatCode="mmm-yy"/>
    <x:numFmt numFmtId="201" formatCode="0.00"/>
    <x:numFmt numFmtId="202" formatCode="#,##0"/>
    <x:numFmt numFmtId="203" formatCode="dd-mmm-yy"/>
    <x:numFmt numFmtId="204" formatCode="#,##0.00"/>
  </x:numFmts>
  <x:fonts count="35">
    <x:font>
      <x:sz val="11"/>
      <x:name val="Carlito"/>
    </x:font>
    <x:font>
      <x:b/>
      <x:sz val="10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sz val="10"/>
      <x:color rgb="FFD7DEE8"/>
      <x:name val="Aptos"/>
    </x:font>
    <x:font>
      <x:b/>
      <x:sz val="10"/>
      <x:color rgb="FF0B1F33"/>
      <x:name val="Aptos"/>
    </x:font>
    <x:font>
      <x:sz val="10"/>
      <x:color rgb="FF0B1F33"/>
      <x:name val="Aptos"/>
    </x:font>
    <x:font>
      <x:b/>
      <x:sz val="12"/>
      <x:color rgb="FFFFFFFF"/>
      <x:name val="Aptos"/>
    </x:font>
    <x:font>
      <x:sz val="12"/>
      <x:name val="Aptos"/>
    </x:font>
    <x:font>
      <x:sz val="11"/>
      <x:color theme="0"/>
      <x:name val="Carlito"/>
    </x:font>
    <x:font>
      <x:b/>
      <x:sz val="14"/>
      <x:color rgb="FF0F172A"/>
      <x:name val="Aptos"/>
    </x:font>
    <x:font>
      <x:b/>
      <x:sz val="18"/>
      <x:color rgb="FFFFFFFF"/>
      <x:name val="Aptos"/>
    </x:font>
    <x:font>
      <x:sz val="10"/>
      <x:color rgb="FFD6DCE5"/>
      <x:name val="Aptos"/>
    </x:font>
    <x:font>
      <x:b/>
      <x:sz val="15"/>
      <x:color rgb="FF1F2937"/>
      <x:name val="Aptos"/>
    </x:font>
    <x:font>
      <x:b/>
      <x:sz val="15"/>
      <x:color rgb="FFE7483D"/>
      <x:name val="Aptos"/>
    </x:font>
    <x:font>
      <x:b/>
      <x:sz val="15"/>
      <x:color rgb="FF138A72"/>
      <x:name val="Aptos"/>
    </x:font>
    <x:font>
      <x:b/>
      <x:sz val="15"/>
      <x:color rgb="FFC99A2E"/>
      <x:name val="Aptos"/>
    </x:font>
    <x:font>
      <x:b/>
      <x:sz val="10"/>
      <x:color rgb="FF182230"/>
      <x:name val="Aptos"/>
    </x:font>
    <x:font>
      <x:sz val="10"/>
      <x:color rgb="FF1F2937"/>
      <x:name val="Aptos"/>
    </x:font>
    <x:font>
      <x:b/>
      <x:sz val="9"/>
      <x:color rgb="FFFFFFFF"/>
      <x:name val="Aptos"/>
    </x:font>
    <x:font>
      <x:b/>
      <x:sz val="10"/>
      <x:color rgb="FF1F2937"/>
      <x:name val="Aptos"/>
    </x:font>
    <x:font>
      <x:sz val="11"/>
      <x:color rgb="FFFFFFFF"/>
      <x:name val="Aptos"/>
    </x:font>
    <x:font>
      <x:b/>
      <x:sz val="16"/>
      <x:color rgb="FFFFFFFF"/>
      <x:name val="Aptos"/>
    </x:font>
    <x:font>
      <x:sz val="10"/>
      <x:color rgb="FF1F2937"/>
      <x:name val="Carlito"/>
    </x:font>
    <x:font>
      <x:b/>
      <x:sz val="9"/>
      <x:color rgb="FF1F2937"/>
      <x:name val="Aptos"/>
    </x:font>
    <x:font>
      <x:b/>
      <x:sz val="9"/>
      <x:color rgb="FF1F2937"/>
      <x:name val="Carlito"/>
    </x:font>
    <x:font>
      <x:b/>
      <x:sz val="16"/>
      <x:color rgb="FFFFFFFF"/>
      <x:name val="Carlito"/>
    </x:font>
    <x:font>
      <x:b/>
      <x:sz val="10"/>
      <x:color rgb="FF1F2937"/>
      <x:name val="Carlito"/>
    </x:font>
    <x:font>
      <x:sz val="9"/>
      <x:color rgb="FF1F2937"/>
      <x:name val="Aptos"/>
    </x:font>
    <x:font>
      <x:b/>
      <x:sz val="9"/>
      <x:color rgb="FF6B7280"/>
      <x:name val="Aptos"/>
    </x:font>
    <x:font>
      <x:sz val="9"/>
      <x:color rgb="FF6B7280"/>
      <x:name val="Aptos"/>
    </x:font>
    <x:font>
      <x:b/>
      <x:sz val="18"/>
      <x:color rgb="FFE7483D"/>
      <x:name val="Aptos"/>
    </x:font>
    <x:font>
      <x:b/>
      <x:sz val="18"/>
      <x:color rgb="FF138A72"/>
      <x:name val="Aptos"/>
    </x:font>
    <x:font>
      <x:b/>
      <x:sz val="18"/>
      <x:color rgb="FFC99A2E"/>
      <x:name val="Aptos"/>
    </x:font>
    <x:font>
      <x:sz val="9"/>
      <x:color rgb="FFFFFFFF"/>
      <x:name val="Aptos"/>
    </x:font>
  </x:fonts>
  <x:fills count="13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132C46"/>
      </x:patternFill>
    </x:fill>
    <x:fill>
      <x:patternFill patternType="solid">
        <x:fgColor rgb="FFFFFFFF"/>
      </x:patternFill>
    </x:fill>
    <x:fill>
      <x:patternFill patternType="solid">
        <x:fgColor rgb="FFF7F8FA"/>
      </x:patternFill>
    </x:fill>
    <x:fill>
      <x:patternFill patternType="solid">
        <x:fgColor theme="3"/>
      </x:patternFill>
    </x:fill>
    <x:fill>
      <x:patternFill patternType="solid">
        <x:fgColor rgb="FF0D1F30"/>
      </x:patternFill>
    </x:fill>
    <x:fill>
      <x:patternFill patternType="solid">
        <x:fgColor rgb="FFC8102E"/>
      </x:patternFill>
    </x:fill>
    <x:fill>
      <x:patternFill patternType="solid">
        <x:fgColor rgb="FFF6F7F9"/>
      </x:patternFill>
    </x:fill>
    <x:fill>
      <x:patternFill patternType="solid">
        <x:fgColor rgb="FF182230"/>
      </x:patternFill>
    </x:fill>
    <x:fill>
      <x:patternFill patternType="solid">
        <x:fgColor rgb="FFFFFFFF"/>
      </x:patternFill>
    </x:fill>
    <x:fill>
      <x:patternFill patternType="solid">
        <x:fgColor rgb="FFEDEFF3"/>
      </x:patternFill>
    </x:fill>
  </x:fills>
  <x:borders count="2">
    <x:border/>
    <x:border/>
  </x:borders>
  <x:cellStyleXfs count="1">
    <x:xf numFmtId="0" fontId="0" fillId="0" borderId="0"/>
  </x:cellStyleXfs>
  <x:cellXfs count="270">
    <x:xf numFmtId="0" fontId="0" fillId="0" borderId="0" xfId="0"/>
    <x:xf numFmtId="0" fontId="1" fillId="3" borderId="0" xfId="0" applyNumberFormat="1" applyFont="1" applyFill="1" applyBorder="1" applyAlignment="1">
      <x:alignment horizontal="center" vertical="center"/>
    </x:xf>
    <x:xf numFmtId="17" fontId="0" fillId="0" borderId="0" xfId="0" applyNumberFormat="1" applyFont="1" applyFill="1" applyBorder="1"/>
    <x:xf numFmtId="164" fontId="0" fillId="0" borderId="0" xfId="0" applyNumberFormat="1" applyFont="1" applyFill="1" applyBorder="1"/>
    <x:xf numFmtId="3" fontId="0" fillId="0" borderId="0" xfId="0" applyNumberFormat="1" applyFont="1" applyFill="1" applyBorder="1"/>
    <x:xf numFmtId="165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 vertical="center"/>
    </x:xf>
    <x:xf numFmtId="17" fontId="3" fillId="0" borderId="0" xfId="0" applyNumberFormat="1" applyFont="1" applyFill="1" applyBorder="1"/>
    <x:xf numFmtId="3" fontId="3" fillId="0" borderId="0" xfId="0" applyNumberFormat="1" applyFont="1" applyFill="1" applyBorder="1"/>
    <x:xf numFmtId="165" fontId="3" fillId="0" borderId="0" xfId="0" applyNumberFormat="1" applyFont="1" applyFill="1" applyBorder="1"/>
    <x:xf numFmtId="164" fontId="3" fillId="0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166" fontId="3" fillId="0" borderId="0" xfId="0" applyNumberFormat="1" applyFont="1" applyFill="1" applyBorder="1"/>
    <x:xf numFmtId="167" fontId="3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/>
    <x:xf numFmtId="0" fontId="4" fillId="3" borderId="0" xfId="0" applyNumberFormat="1" applyFont="1" applyFill="1" applyBorder="1" applyAlignment="1"/>
    <x:xf numFmtId="0" fontId="2" fillId="2" borderId="0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 applyAlignment="1">
      <x:alignment horizontal="center"/>
    </x:xf>
    <x:xf numFmtId="0" fontId="0" fillId="6" borderId="0" xfId="0" applyFill="1"/>
    <x:xf numFmtId="0" fontId="0" fillId="7" borderId="0" xfId="0" applyFill="1"/>
    <x:xf numFmtId="0" fontId="9" fillId="6" borderId="0" xfId="0" applyFont="1" applyFill="1"/>
    <x:xf numFmtId="0" fontId="0" fillId="0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 vertical="center"/>
    </x:xf>
    <x:xf numFmtId="17" fontId="0" fillId="0" borderId="1" xfId="0" applyNumberFormat="1" applyFont="1" applyFill="1" applyBorder="1"/>
    <x:xf numFmtId="164" fontId="0" fillId="0" borderId="1" xfId="0" applyNumberFormat="1" applyFont="1" applyFill="1" applyBorder="1"/>
    <x:xf numFmtId="3" fontId="0" fillId="0" borderId="1" xfId="0" applyNumberFormat="1" applyFont="1" applyFill="1" applyBorder="1"/>
    <x:xf numFmtId="165" fontId="0" fillId="0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 vertical="center"/>
    </x:xf>
    <x:xf numFmtId="17" fontId="3" fillId="0" borderId="1" xfId="0" applyNumberFormat="1" applyFont="1" applyFill="1" applyBorder="1"/>
    <x:xf numFmtId="3" fontId="3" fillId="0" borderId="1" xfId="0" applyNumberFormat="1" applyFont="1" applyFill="1" applyBorder="1"/>
    <x:xf numFmtId="165" fontId="3" fillId="0" borderId="1" xfId="0" applyNumberFormat="1" applyFont="1" applyFill="1" applyBorder="1"/>
    <x:xf numFmtId="164" fontId="3" fillId="0" borderId="1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166" fontId="3" fillId="0" borderId="1" xfId="0" applyNumberFormat="1" applyFont="1" applyFill="1" applyBorder="1"/>
    <x:xf numFmtId="167" fontId="3" fillId="0" borderId="1" xfId="0" applyNumberFormat="1" applyFont="1" applyFill="1" applyBorder="1"/>
    <x:xf numFmtId="0" fontId="3" fillId="0" borderId="1" xfId="0" applyNumberFormat="1" applyFont="1" applyFill="1" applyBorder="1"/>
    <x:xf numFmtId="0" fontId="4" fillId="3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 vertical="center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7" fillId="2" borderId="1" xfId="0" applyNumberFormat="1" applyFont="1" applyFill="1" applyBorder="1" applyAlignment="1">
      <x:alignment horizontal="center" vertical="center"/>
    </x:xf>
    <x:xf numFmtId="0" fontId="8" fillId="0" borderId="1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0" fillId="7" borderId="1" xfId="0" applyNumberFormat="1" applyFont="1" applyFill="1" applyBorder="1"/>
    <x:xf numFmtId="0" fontId="9" fillId="6" borderId="1" xfId="0" applyNumberFormat="1" applyFont="1" applyFill="1" applyBorder="1"/>
    <x:xf numFmtId="200" fontId="3" fillId="0" borderId="0" xfId="0" applyNumberFormat="1" applyFont="1" applyFill="1" applyBorder="1"/>
    <x:xf numFmtId="200" fontId="0" fillId="0" borderId="0" xfId="0" applyNumberFormat="1" applyFont="1" applyFill="1" applyBorder="1"/>
    <x:xf numFmtId="200" fontId="3" fillId="0" borderId="1" xfId="0" applyNumberFormat="1" applyFont="1" applyFill="1" applyBorder="1"/>
    <x:xf numFmtId="200" fontId="0" fillId="0" borderId="1" xfId="0" applyNumberFormat="1" applyFont="1" applyFill="1" applyBorder="1"/>
    <x:xf numFmtId="164" fontId="5" fillId="4" borderId="0" xfId="0" applyNumberFormat="1" applyFont="1" applyFill="1" applyBorder="1" applyAlignment="1">
      <x:alignment horizontal="center" vertical="center" wrapText="1"/>
    </x:xf>
    <x:xf numFmtId="164" fontId="5" fillId="4" borderId="1" xfId="0" applyNumberFormat="1" applyFont="1" applyFill="1" applyBorder="1" applyAlignment="1">
      <x:alignment horizontal="center" vertical="center" wrapText="1"/>
    </x:xf>
    <x:xf numFmtId="201" fontId="3" fillId="0" borderId="0" xfId="0" applyNumberFormat="1" applyFont="1" applyFill="1" applyBorder="1"/>
    <x:xf numFmtId="201" fontId="3" fillId="0" borderId="1" xfId="0" applyNumberFormat="1" applyFont="1" applyFill="1" applyBorder="1"/>
    <x:xf numFmtId="201" fontId="5" fillId="4" borderId="0" xfId="0" applyNumberFormat="1" applyFont="1" applyFill="1" applyBorder="1" applyAlignment="1">
      <x:alignment horizontal="center" vertical="center" wrapText="1"/>
    </x:xf>
    <x:xf numFmtId="201" fontId="5" fillId="4" borderId="1" xfId="0" applyNumberFormat="1" applyFont="1" applyFill="1" applyBorder="1" applyAlignment="1">
      <x:alignment horizontal="center" vertical="center" wrapText="1"/>
    </x:xf>
    <x:xf numFmtId="201" fontId="2" fillId="2" borderId="0" xfId="0" applyNumberFormat="1" applyFont="1" applyFill="1" applyBorder="1" applyAlignment="1">
      <x:alignment horizontal="left" vertical="center"/>
    </x:xf>
    <x:xf numFmtId="201" fontId="2" fillId="3" borderId="0" xfId="0" applyNumberFormat="1" applyFont="1" applyFill="1" applyBorder="1" applyAlignment="1">
      <x:alignment horizontal="center" vertical="center"/>
    </x:xf>
    <x:xf numFmtId="201" fontId="2" fillId="2" borderId="1" xfId="0" applyNumberFormat="1" applyFont="1" applyFill="1" applyBorder="1" applyAlignment="1">
      <x:alignment horizontal="left" vertical="center"/>
    </x:xf>
    <x:xf numFmtId="201" fontId="2" fillId="3" borderId="1" xfId="0" applyNumberFormat="1" applyFont="1" applyFill="1" applyBorder="1" applyAlignment="1">
      <x:alignment horizontal="center" vertical="center"/>
    </x:xf>
    <x:xf numFmtId="202" fontId="3" fillId="0" borderId="0" xfId="0" applyNumberFormat="1" applyFont="1" applyFill="1" applyBorder="1"/>
    <x:xf numFmtId="202" fontId="0" fillId="0" borderId="0" xfId="0" applyNumberFormat="1" applyFont="1" applyFill="1" applyBorder="1"/>
    <x:xf numFmtId="202" fontId="3" fillId="0" borderId="1" xfId="0" applyNumberFormat="1" applyFont="1" applyFill="1" applyBorder="1"/>
    <x:xf numFmtId="202" fontId="0" fillId="0" borderId="1" xfId="0" applyNumberFormat="1" applyFont="1" applyFill="1" applyBorder="1"/>
    <x:xf numFmtId="202" fontId="5" fillId="4" borderId="0" xfId="0" applyNumberFormat="1" applyFont="1" applyFill="1" applyBorder="1" applyAlignment="1">
      <x:alignment horizontal="center" vertical="center" wrapText="1"/>
    </x:xf>
    <x:xf numFmtId="202" fontId="5" fillId="4" borderId="1" xfId="0" applyNumberFormat="1" applyFont="1" applyFill="1" applyBorder="1" applyAlignment="1">
      <x:alignment horizontal="center" vertical="center" wrapText="1"/>
    </x:xf>
    <x:xf numFmtId="0" fontId="2" fillId="8" borderId="0" xfId="0" applyNumberFormat="1" applyFont="1" applyFill="1" applyBorder="1" applyAlignment="1">
      <x:alignment horizontal="center" vertical="center"/>
    </x:xf>
    <x:xf numFmtId="0" fontId="2" fillId="8" borderId="0" xfId="0" applyNumberFormat="1" applyFont="1" applyFill="1" applyBorder="1" applyAlignment="1">
      <x:alignment horizontal="center" vertical="center" wrapText="1"/>
    </x:xf>
    <x:xf numFmtId="0" fontId="2" fillId="8" borderId="1" xfId="0" applyNumberFormat="1" applyFont="1" applyFill="1" applyBorder="1" applyAlignment="1">
      <x:alignment horizontal="center" vertical="center"/>
    </x:xf>
    <x:xf numFmtId="0" fontId="2" fillId="8" borderId="1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 applyAlignment="1">
      <x:alignment horizontal="center" vertical="center" wrapText="1"/>
    </x:xf>
    <x:xf numFmtId="0" fontId="1" fillId="8" borderId="1" xfId="0" applyNumberFormat="1" applyFont="1" applyFill="1" applyBorder="1" applyAlignment="1">
      <x:alignment horizontal="center" vertical="center"/>
    </x:xf>
    <x:xf numFmtId="0" fontId="1" fillId="8" borderId="1" xfId="0" applyNumberFormat="1" applyFont="1" applyFill="1" applyBorder="1" applyAlignment="1">
      <x:alignment horizontal="center" vertical="center" wrapText="1"/>
    </x:xf>
    <x:xf numFmtId="0" fontId="3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horizontal="center" wrapText="1"/>
    </x:xf>
    <x:xf numFmtId="0" fontId="3" fillId="8" borderId="1" xfId="0" applyNumberFormat="1" applyFont="1" applyFill="1" applyBorder="1"/>
    <x:xf numFmtId="0" fontId="2" fillId="8" borderId="1" xfId="0" applyNumberFormat="1" applyFont="1" applyFill="1" applyBorder="1"/>
    <x:xf numFmtId="0" fontId="2" fillId="8" borderId="1" xfId="0" applyNumberFormat="1" applyFont="1" applyFill="1" applyBorder="1" applyAlignment="1">
      <x:alignment wrapText="1"/>
    </x:xf>
    <x:xf numFmtId="0" fontId="2" fillId="8" borderId="1" xfId="0" applyNumberFormat="1" applyFont="1" applyFill="1" applyBorder="1" applyAlignment="1">
      <x:alignment horizontal="center" wrapText="1"/>
    </x:xf>
    <x:xf numFmtId="0" fontId="10" fillId="4" borderId="0" xfId="0" applyNumberFormat="1" applyFont="1" applyFill="1" applyBorder="1" applyAlignment="1">
      <x:alignment horizontal="center" vertical="center" wrapText="1"/>
    </x:xf>
    <x:xf numFmtId="0" fontId="10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4" fillId="3" borderId="0" xfId="0" applyNumberFormat="1" applyFont="1" applyFill="1" applyBorder="1"/>
    <x:xf numFmtId="0" fontId="0" fillId="6" borderId="0" xfId="0" applyNumberFormat="1" applyFont="1" applyFill="1" applyBorder="1"/>
    <x:xf numFmtId="0" fontId="0" fillId="7" borderId="0" xfId="0" applyNumberFormat="1" applyFont="1" applyFill="1" applyBorder="1"/>
    <x:xf numFmtId="0" fontId="9" fillId="6" borderId="0" xfId="0" applyNumberFormat="1" applyFont="1" applyFill="1" applyBorder="1"/>
    <x:xf numFmtId="0" fontId="7" fillId="9" borderId="0" xfId="0" applyNumberFormat="1" applyFont="1" applyFill="1" applyBorder="1" applyAlignment="1">
      <x:alignment horizontal="center" vertical="center"/>
    </x:xf>
    <x:xf numFmtId="0" fontId="8" fillId="9" borderId="0" xfId="0" applyNumberFormat="1" applyFont="1" applyFill="1" applyBorder="1" applyAlignment="1">
      <x:alignment horizontal="center"/>
    </x:xf>
    <x:xf numFmtId="0" fontId="4" fillId="9" borderId="0" xfId="0" applyNumberFormat="1" applyFont="1" applyFill="1" applyBorder="1"/>
    <x:xf numFmtId="0" fontId="3" fillId="9" borderId="0" xfId="0" applyNumberFormat="1" applyFont="1" applyFill="1" applyBorder="1"/>
    <x:xf numFmtId="0" fontId="10" fillId="9" borderId="0" xfId="0" applyNumberFormat="1" applyFont="1" applyFill="1" applyBorder="1" applyAlignment="1">
      <x:alignment horizontal="center" vertical="center" wrapText="1"/>
    </x:xf>
    <x:xf numFmtId="0" fontId="5" fillId="9" borderId="0" xfId="0" applyNumberFormat="1" applyFont="1" applyFill="1" applyBorder="1" applyAlignment="1">
      <x:alignment horizontal="center" vertical="center" wrapText="1"/>
    </x:xf>
    <x:xf numFmtId="201" fontId="5" fillId="9" borderId="0" xfId="0" applyNumberFormat="1" applyFont="1" applyFill="1" applyBorder="1" applyAlignment="1">
      <x:alignment horizontal="center" vertical="center" wrapText="1"/>
    </x:xf>
    <x:xf numFmtId="164" fontId="5" fillId="9" borderId="0" xfId="0" applyNumberFormat="1" applyFont="1" applyFill="1" applyBorder="1" applyAlignment="1">
      <x:alignment horizontal="center" vertical="center" wrapText="1"/>
    </x:xf>
    <x:xf numFmtId="202" fontId="5" fillId="9" borderId="0" xfId="0" applyNumberFormat="1" applyFont="1" applyFill="1" applyBorder="1" applyAlignment="1">
      <x:alignment horizontal="center" vertical="center" wrapText="1"/>
    </x:xf>
    <x:xf numFmtId="0" fontId="2" fillId="9" borderId="0" xfId="0" applyNumberFormat="1" applyFont="1" applyFill="1" applyBorder="1" applyAlignment="1">
      <x:alignment horizontal="left" vertical="center"/>
    </x:xf>
    <x:xf numFmtId="0" fontId="2" fillId="9" borderId="0" xfId="0" applyNumberFormat="1" applyFont="1" applyFill="1" applyBorder="1" applyAlignment="1">
      <x:alignment horizontal="center" vertical="center"/>
    </x:xf>
    <x:xf numFmtId="17" fontId="3" fillId="9" borderId="0" xfId="0" applyNumberFormat="1" applyFont="1" applyFill="1" applyBorder="1"/>
    <x:xf numFmtId="201" fontId="3" fillId="9" borderId="0" xfId="0" applyNumberFormat="1" applyFont="1" applyFill="1" applyBorder="1"/>
    <x:xf numFmtId="201" fontId="2" fillId="9" borderId="0" xfId="0" applyNumberFormat="1" applyFont="1" applyFill="1" applyBorder="1" applyAlignment="1">
      <x:alignment horizontal="left" vertical="center"/>
    </x:xf>
    <x:xf numFmtId="201" fontId="2" fillId="9" borderId="0" xfId="0" applyNumberFormat="1" applyFont="1" applyFill="1" applyBorder="1" applyAlignment="1">
      <x:alignment horizontal="center" vertical="center"/>
    </x:xf>
    <x:xf numFmtId="164" fontId="3" fillId="9" borderId="0" xfId="0" applyNumberFormat="1" applyFont="1" applyFill="1" applyBorder="1"/>
    <x:xf numFmtId="0" fontId="6" fillId="9" borderId="0" xfId="0" applyNumberFormat="1" applyFont="1" applyFill="1" applyBorder="1" applyAlignment="1">
      <x:alignment wrapText="1"/>
    </x:xf>
    <x:xf numFmtId="0" fontId="7" fillId="10" borderId="0" xfId="0" applyNumberFormat="1" applyFont="1" applyFill="1" applyBorder="1" applyAlignment="1">
      <x:alignment horizontal="center" vertical="center"/>
    </x:xf>
    <x:xf numFmtId="0" fontId="8" fillId="10" borderId="0" xfId="0" applyNumberFormat="1" applyFont="1" applyFill="1" applyBorder="1" applyAlignment="1">
      <x:alignment horizontal="center"/>
    </x:xf>
    <x:xf numFmtId="0" fontId="4" fillId="10" borderId="0" xfId="0" applyNumberFormat="1" applyFont="1" applyFill="1" applyBorder="1"/>
    <x:xf numFmtId="0" fontId="3" fillId="10" borderId="0" xfId="0" applyNumberFormat="1" applyFont="1" applyFill="1" applyBorder="1"/>
    <x:xf numFmtId="0" fontId="11" fillId="10" borderId="0" xfId="0" applyNumberFormat="1" applyFont="1" applyFill="1" applyBorder="1" applyAlignment="1">
      <x:alignment horizontal="center" vertical="center"/>
    </x:xf>
    <x:xf numFmtId="0" fontId="11" fillId="10" borderId="0" xfId="0" applyNumberFormat="1" applyFont="1" applyFill="1" applyBorder="1" applyAlignment="1">
      <x:alignment horizontal="center"/>
    </x:xf>
    <x:xf numFmtId="0" fontId="11" fillId="10" borderId="0" xfId="0" applyNumberFormat="1" applyFont="1" applyFill="1" applyBorder="1"/>
    <x:xf numFmtId="0" fontId="11" fillId="10" borderId="0" xfId="0" applyNumberFormat="1" applyFont="1" applyFill="1" applyBorder="1" applyAlignment="1">
      <x:alignment horizontal="left" vertical="center"/>
    </x:xf>
    <x:xf numFmtId="0" fontId="11" fillId="10" borderId="0" xfId="0" applyNumberFormat="1" applyFont="1" applyFill="1" applyBorder="1" applyAlignment="1">
      <x:alignment horizontal="left"/>
    </x:xf>
    <x:xf numFmtId="0" fontId="12" fillId="10" borderId="0" xfId="0" applyNumberFormat="1" applyFont="1" applyFill="1" applyBorder="1"/>
    <x:xf numFmtId="0" fontId="12" fillId="10" borderId="0" xfId="0" applyNumberFormat="1" applyFont="1" applyFill="1" applyBorder="1" applyAlignment="1">
      <x:alignment vertical="center"/>
    </x:xf>
    <x:xf numFmtId="201" fontId="5" fillId="11" borderId="0" xfId="0" applyNumberFormat="1" applyFont="1" applyFill="1" applyBorder="1" applyAlignment="1">
      <x:alignment horizontal="center" vertical="center" wrapText="1"/>
    </x:xf>
    <x:xf numFmtId="0" fontId="5" fillId="11" borderId="0" xfId="0" applyNumberFormat="1" applyFont="1" applyFill="1" applyBorder="1" applyAlignment="1">
      <x:alignment horizontal="center" vertical="center" wrapText="1"/>
    </x:xf>
    <x:xf numFmtId="0" fontId="10" fillId="11" borderId="0" xfId="0" applyNumberFormat="1" applyFont="1" applyFill="1" applyBorder="1" applyAlignment="1">
      <x:alignment horizontal="center" vertical="center" wrapText="1"/>
    </x:xf>
    <x:xf numFmtId="202" fontId="5" fillId="11" borderId="0" xfId="0" applyNumberFormat="1" applyFont="1" applyFill="1" applyBorder="1" applyAlignment="1">
      <x:alignment horizontal="center" vertical="center" wrapText="1"/>
    </x:xf>
    <x:xf numFmtId="201" fontId="13" fillId="11" borderId="0" xfId="0" applyNumberFormat="1" applyFont="1" applyFill="1" applyBorder="1" applyAlignment="1">
      <x:alignment horizontal="center" vertical="center" wrapText="1"/>
    </x:xf>
    <x:xf numFmtId="0" fontId="13" fillId="11" borderId="0" xfId="0" applyNumberFormat="1" applyFont="1" applyFill="1" applyBorder="1" applyAlignment="1">
      <x:alignment horizontal="center" vertical="center" wrapText="1"/>
    </x:xf>
    <x:xf numFmtId="202" fontId="13" fillId="11" borderId="0" xfId="0" applyNumberFormat="1" applyFont="1" applyFill="1" applyBorder="1" applyAlignment="1">
      <x:alignment horizontal="center" vertical="center" wrapText="1"/>
    </x:xf>
    <x:xf numFmtId="201" fontId="13" fillId="11" xfId="0" applyNumberFormat="1" applyFont="1" applyFill="1" applyBorder="0" applyAlignment="1">
      <x:alignment horizontal="center" vertical="center" wrapText="1"/>
    </x:xf>
    <x:xf numFmtId="0" fontId="13" fillId="11" xfId="0" applyNumberFormat="1" applyFont="1" applyFill="1" applyBorder="0" applyAlignment="1">
      <x:alignment horizontal="center" vertical="center" wrapText="1"/>
    </x:xf>
    <x:xf numFmtId="202" fontId="13" fillId="11" xfId="0" applyNumberFormat="1" applyFont="1" applyFill="1" applyBorder="0" applyAlignment="1">
      <x:alignment horizontal="center" vertical="center" wrapText="1"/>
    </x:xf>
    <x:xf numFmtId="201" fontId="13" fillId="11" xfId="0" applyNumberFormat="1" applyFont="1" applyFill="1" applyBorder="0" applyAlignment="1">
      <x:alignment horizontal="left" vertical="center" wrapText="1"/>
    </x:xf>
    <x:xf numFmtId="0" fontId="13" fillId="11" xfId="0" applyNumberFormat="1" applyFont="1" applyFill="1" applyBorder="0" applyAlignment="1">
      <x:alignment horizontal="left" vertical="center" wrapText="1"/>
    </x:xf>
    <x:xf numFmtId="202" fontId="13" fillId="11" xfId="0" applyNumberFormat="1" applyFont="1" applyFill="1" applyBorder="0" applyAlignment="1">
      <x:alignment horizontal="left" vertical="center" wrapText="1"/>
    </x:xf>
    <x:xf numFmtId="201" fontId="14" fillId="11" xfId="0" applyNumberFormat="1" applyFont="1" applyFill="1" applyBorder="0" applyAlignment="1">
      <x:alignment horizontal="left" vertical="center" wrapText="1"/>
    </x:xf>
    <x:xf numFmtId="201" fontId="15" fillId="11" xfId="0" applyNumberFormat="1" applyFont="1" applyFill="1" applyBorder="0" applyAlignment="1">
      <x:alignment horizontal="left" vertical="center" wrapText="1"/>
    </x:xf>
    <x:xf numFmtId="164" fontId="5" fillId="11" borderId="0" xfId="0" applyNumberFormat="1" applyFont="1" applyFill="1" applyBorder="1" applyAlignment="1">
      <x:alignment horizontal="center" vertical="center" wrapText="1"/>
    </x:xf>
    <x:xf numFmtId="164" fontId="13" fillId="11" borderId="0" xfId="0" applyNumberFormat="1" applyFont="1" applyFill="1" applyBorder="1" applyAlignment="1">
      <x:alignment horizontal="center" vertical="center" wrapText="1"/>
    </x:xf>
    <x:xf numFmtId="164" fontId="13" fillId="11" xfId="0" applyNumberFormat="1" applyFont="1" applyFill="1" applyBorder="0" applyAlignment="1">
      <x:alignment horizontal="center" vertical="center" wrapText="1"/>
    </x:xf>
    <x:xf numFmtId="164" fontId="13" fillId="11" xfId="0" applyNumberFormat="1" applyFont="1" applyFill="1" applyBorder="0" applyAlignment="1">
      <x:alignment horizontal="left" vertical="center" wrapText="1"/>
    </x:xf>
    <x:xf numFmtId="201" fontId="16" fillId="11" xfId="0" applyNumberFormat="1" applyFont="1" applyFill="1" applyBorder="0" applyAlignment="1">
      <x:alignment horizontal="left" vertical="center" wrapText="1"/>
    </x:xf>
    <x:xf numFmtId="164" fontId="14" fillId="11" xfId="0" applyNumberFormat="1" applyFont="1" applyFill="1" applyBorder="0" applyAlignment="1">
      <x:alignment horizontal="left" vertical="center" wrapText="1"/>
    </x:xf>
    <x:xf numFmtId="0" fontId="2" fillId="12" borderId="0" xfId="0" applyNumberFormat="1" applyFont="1" applyFill="1" applyBorder="1" applyAlignment="1">
      <x:alignment horizontal="left" vertical="center"/>
    </x:xf>
    <x:xf numFmtId="0" fontId="17" fillId="12" borderId="0" xfId="0" applyNumberFormat="1" applyFont="1" applyFill="1" applyBorder="1" applyAlignment="1">
      <x:alignment horizontal="left" vertical="center"/>
    </x:xf>
    <x:xf numFmtId="0" fontId="3" fillId="12" borderId="0" xfId="0" applyNumberFormat="1" applyFont="1" applyFill="1" applyBorder="1"/>
    <x:xf numFmtId="0" fontId="17" fillId="12" borderId="0" xfId="0" applyNumberFormat="1" applyFont="1" applyFill="1" applyBorder="1"/>
    <x:xf numFmtId="0" fontId="17" fillId="12" borderId="0" xfId="0" applyNumberFormat="1" applyFont="1" applyFill="1" applyBorder="1" applyAlignment="1">
      <x:alignment vertical="center"/>
    </x:xf>
    <x:xf numFmtId="0" fontId="3" fillId="11" borderId="0" xfId="0" applyNumberFormat="1" applyFont="1" applyFill="1" applyBorder="1"/>
    <x:xf numFmtId="17" fontId="3" fillId="11" borderId="0" xfId="0" applyNumberFormat="1" applyFont="1" applyFill="1" applyBorder="1"/>
    <x:xf numFmtId="201" fontId="3" fillId="11" borderId="0" xfId="0" applyNumberFormat="1" applyFont="1" applyFill="1" applyBorder="1"/>
    <x:xf numFmtId="0" fontId="18" fillId="11" borderId="0" xfId="0" applyNumberFormat="1" applyFont="1" applyFill="1" applyBorder="1"/>
    <x:xf numFmtId="17" fontId="18" fillId="11" borderId="0" xfId="0" applyNumberFormat="1" applyFont="1" applyFill="1" applyBorder="1"/>
    <x:xf numFmtId="201" fontId="18" fillId="11" borderId="0" xfId="0" applyNumberFormat="1" applyFont="1" applyFill="1" applyBorder="1"/>
    <x:xf numFmtId="0" fontId="18" fillId="11" xfId="0" applyNumberFormat="1" applyFont="1" applyFill="1" applyBorder="0"/>
    <x:xf numFmtId="17" fontId="18" fillId="11" xfId="0" applyNumberFormat="1" applyFont="1" applyFill="1" applyBorder="0"/>
    <x:xf numFmtId="201" fontId="18" fillId="11" xfId="0" applyNumberFormat="1" applyFont="1" applyFill="1" applyBorder="0"/>
    <x:xf numFmtId="0" fontId="18" fillId="10" xfId="0" applyNumberFormat="1" applyFont="1" applyFill="1" applyBorder="0"/>
    <x:xf numFmtId="0" fontId="19" fillId="10" xfId="0" applyNumberFormat="1" applyFont="1" applyFill="1" applyBorder="0"/>
    <x:xf numFmtId="0" fontId="19" fillId="10" xfId="0" applyNumberFormat="1" applyFont="1" applyFill="1" applyBorder="0" applyAlignment="1">
      <x:alignment horizontal="center"/>
    </x:xf>
    <x:xf numFmtId="0" fontId="19" fillId="10" xfId="0" applyNumberFormat="1" applyFont="1" applyFill="1" applyBorder="0" applyAlignment="1">
      <x:alignment horizontal="center" vertical="center"/>
    </x:xf>
    <x:xf numFmtId="0" fontId="18" fillId="12" xfId="0" applyNumberFormat="1" applyFont="1" applyFill="1" applyBorder="0"/>
    <x:xf numFmtId="0" fontId="17" fillId="12" xfId="0" applyNumberFormat="1" applyFont="1" applyFill="1" applyBorder="0"/>
    <x:xf numFmtId="0" fontId="19" fillId="11" xfId="0" applyNumberFormat="1" applyFont="1" applyFill="1" applyBorder="0" applyAlignment="1">
      <x:alignment horizontal="center" vertical="center"/>
    </x:xf>
    <x:xf numFmtId="0" fontId="20" fillId="11" xfId="0" applyNumberFormat="1" applyFont="1" applyFill="1" applyBorder="0" applyAlignment="1">
      <x:alignment horizontal="center" vertical="center"/>
    </x:xf>
    <x:xf numFmtId="0" fontId="20" fillId="10" xfId="0" applyNumberFormat="1" applyFont="1" applyFill="1" applyBorder="0" applyAlignment="1">
      <x:alignment horizontal="center" vertical="center"/>
    </x:xf>
    <x:xf numFmtId="0" fontId="21" fillId="10" borderId="0" xfId="0" applyNumberFormat="1" applyFont="1" applyFill="1" applyBorder="1"/>
    <x:xf numFmtId="0" fontId="21" fillId="10" borderId="0" xfId="0" applyNumberFormat="1" applyFont="1" applyFill="1" applyBorder="1" applyAlignment="1">
      <x:alignment wrapText="1"/>
    </x:xf>
    <x:xf numFmtId="0" fontId="21" fillId="10" borderId="0" xfId="0" applyNumberFormat="1" applyFont="1" applyFill="1" applyBorder="1" applyAlignment="1">
      <x:alignment vertical="center" wrapText="1"/>
    </x:xf>
    <x:xf numFmtId="0" fontId="2" fillId="9" borderId="0" xfId="0" applyNumberFormat="1" applyFont="1" applyFill="1" applyBorder="1" applyAlignment="1">
      <x:alignment horizontal="center" vertical="center" wrapText="1"/>
    </x:xf>
    <x:xf numFmtId="200" fontId="3" fillId="9" borderId="0" xfId="0" applyNumberFormat="1" applyFont="1" applyFill="1" applyBorder="1"/>
    <x:xf numFmtId="3" fontId="3" fillId="9" borderId="0" xfId="0" applyNumberFormat="1" applyFont="1" applyFill="1" applyBorder="1"/>
    <x:xf numFmtId="202" fontId="3" fillId="9" borderId="0" xfId="0" applyNumberFormat="1" applyFont="1" applyFill="1" applyBorder="1"/>
    <x:xf numFmtId="0" fontId="0" fillId="9" borderId="0" xfId="0" applyNumberFormat="1" applyFont="1" applyFill="1" applyBorder="1"/>
    <x:xf numFmtId="200" fontId="0" fillId="9" borderId="0" xfId="0" applyNumberFormat="1" applyFont="1" applyFill="1" applyBorder="1"/>
    <x:xf numFmtId="3" fontId="0" fillId="9" borderId="0" xfId="0" applyNumberFormat="1" applyFont="1" applyFill="1" applyBorder="1"/>
    <x:xf numFmtId="202" fontId="0" fillId="9" borderId="0" xfId="0" applyNumberFormat="1" applyFont="1" applyFill="1" applyBorder="1"/>
    <x:xf numFmtId="164" fontId="0" fillId="9" borderId="0" xfId="0" applyNumberFormat="1" applyFont="1" applyFill="1" applyBorder="1"/>
    <x:xf numFmtId="0" fontId="22" fillId="10" borderId="0" xfId="0" applyNumberFormat="1" applyFont="1" applyFill="1" applyBorder="1" applyAlignment="1">
      <x:alignment horizontal="center" vertical="center"/>
    </x:xf>
    <x:xf numFmtId="0" fontId="22" fillId="10" borderId="0" xfId="0" applyNumberFormat="1" applyFont="1" applyFill="1" applyBorder="1" applyAlignment="1">
      <x:alignment horizontal="center"/>
    </x:xf>
    <x:xf numFmtId="0" fontId="18" fillId="9" borderId="0" xfId="0" applyNumberFormat="1" applyFont="1" applyFill="1" applyBorder="1"/>
    <x:xf numFmtId="0" fontId="20" fillId="9" borderId="0" xfId="0" applyNumberFormat="1" applyFont="1" applyFill="1" applyBorder="1" applyAlignment="1">
      <x:alignment horizontal="center" vertical="center" wrapText="1"/>
    </x:xf>
    <x:xf numFmtId="200" fontId="18" fillId="9" borderId="0" xfId="0" applyNumberFormat="1" applyFont="1" applyFill="1" applyBorder="1"/>
    <x:xf numFmtId="3" fontId="18" fillId="9" borderId="0" xfId="0" applyNumberFormat="1" applyFont="1" applyFill="1" applyBorder="1"/>
    <x:xf numFmtId="202" fontId="18" fillId="9" borderId="0" xfId="0" applyNumberFormat="1" applyFont="1" applyFill="1" applyBorder="1"/>
    <x:xf numFmtId="164" fontId="18" fillId="9" borderId="0" xfId="0" applyNumberFormat="1" applyFont="1" applyFill="1" applyBorder="1"/>
    <x:xf numFmtId="0" fontId="23" fillId="9" borderId="0" xfId="0" applyNumberFormat="1" applyFont="1" applyFill="1" applyBorder="1"/>
    <x:xf numFmtId="200" fontId="23" fillId="9" borderId="0" xfId="0" applyNumberFormat="1" applyFont="1" applyFill="1" applyBorder="1"/>
    <x:xf numFmtId="3" fontId="23" fillId="9" borderId="0" xfId="0" applyNumberFormat="1" applyFont="1" applyFill="1" applyBorder="1"/>
    <x:xf numFmtId="202" fontId="23" fillId="9" borderId="0" xfId="0" applyNumberFormat="1" applyFont="1" applyFill="1" applyBorder="1"/>
    <x:xf numFmtId="164" fontId="23" fillId="9" borderId="0" xfId="0" applyNumberFormat="1" applyFont="1" applyFill="1" applyBorder="1"/>
    <x:xf numFmtId="0" fontId="18" fillId="9" borderId="0" xfId="0" applyNumberFormat="1" applyFont="1" applyFill="1" applyBorder="1" applyAlignment="1">
      <x:alignment vertical="center"/>
    </x:xf>
    <x:xf numFmtId="200" fontId="18" fillId="9" borderId="0" xfId="0" applyNumberFormat="1" applyFont="1" applyFill="1" applyBorder="1" applyAlignment="1">
      <x:alignment vertical="center"/>
    </x:xf>
    <x:xf numFmtId="3" fontId="18" fillId="9" borderId="0" xfId="0" applyNumberFormat="1" applyFont="1" applyFill="1" applyBorder="1" applyAlignment="1">
      <x:alignment vertical="center"/>
    </x:xf>
    <x:xf numFmtId="202" fontId="18" fillId="9" borderId="0" xfId="0" applyNumberFormat="1" applyFont="1" applyFill="1" applyBorder="1" applyAlignment="1">
      <x:alignment vertical="center"/>
    </x:xf>
    <x:xf numFmtId="164" fontId="18" fillId="9" borderId="0" xfId="0" applyNumberFormat="1" applyFont="1" applyFill="1" applyBorder="1" applyAlignment="1">
      <x:alignment vertical="center"/>
    </x:xf>
    <x:xf numFmtId="0" fontId="23" fillId="9" borderId="0" xfId="0" applyNumberFormat="1" applyFont="1" applyFill="1" applyBorder="1" applyAlignment="1">
      <x:alignment vertical="center"/>
    </x:xf>
    <x:xf numFmtId="200" fontId="23" fillId="9" borderId="0" xfId="0" applyNumberFormat="1" applyFont="1" applyFill="1" applyBorder="1" applyAlignment="1">
      <x:alignment vertical="center"/>
    </x:xf>
    <x:xf numFmtId="3" fontId="23" fillId="9" borderId="0" xfId="0" applyNumberFormat="1" applyFont="1" applyFill="1" applyBorder="1" applyAlignment="1">
      <x:alignment vertical="center"/>
    </x:xf>
    <x:xf numFmtId="202" fontId="23" fillId="9" borderId="0" xfId="0" applyNumberFormat="1" applyFont="1" applyFill="1" applyBorder="1" applyAlignment="1">
      <x:alignment vertical="center"/>
    </x:xf>
    <x:xf numFmtId="164" fontId="23" fillId="9" borderId="0" xfId="0" applyNumberFormat="1" applyFont="1" applyFill="1" applyBorder="1" applyAlignment="1">
      <x:alignment vertical="center"/>
    </x:xf>
    <x:xf numFmtId="0" fontId="22" fillId="12" borderId="0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/>
    <x:xf numFmtId="0" fontId="24" fillId="12" borderId="0" xfId="0" applyNumberFormat="1" applyFont="1" applyFill="1" applyBorder="1" applyAlignment="1">
      <x:alignment horizontal="center" vertical="center"/>
    </x:xf>
    <x:xf numFmtId="0" fontId="25" fillId="12" borderId="0" xfId="0" applyNumberFormat="1" applyFont="1" applyFill="1" applyBorder="1"/>
    <x:xf numFmtId="0" fontId="24" fillId="12" borderId="0" xfId="0" applyNumberFormat="1" applyFont="1" applyFill="1" applyBorder="1" applyAlignment="1">
      <x:alignment horizontal="center" vertical="center" wrapText="1"/>
    </x:xf>
    <x:xf numFmtId="0" fontId="25" fillId="12" borderId="0" xfId="0" applyNumberFormat="1" applyFont="1" applyFill="1" applyBorder="1" applyAlignment="1">
      <x:alignment wrapText="1"/>
    </x:xf>
    <x:xf numFmtId="0" fontId="25" fillId="12" borderId="0" xfId="0" applyNumberFormat="1" applyFont="1" applyFill="1" applyBorder="1" applyAlignment="1">
      <x:alignment horizontal="center" wrapText="1"/>
    </x:xf>
    <x:xf numFmtId="0" fontId="25" fillId="12" borderId="0" xfId="0" applyNumberFormat="1" applyFont="1" applyFill="1" applyBorder="1" applyAlignment="1">
      <x:alignment horizontal="center" vertical="center" wrapText="1"/>
    </x:xf>
    <x:xf numFmtId="0" fontId="20" fillId="9" borderId="0" xfId="0" applyNumberFormat="1" applyFont="1" applyFill="1" applyBorder="1" applyAlignment="1">
      <x:alignment horizontal="center" vertical="center"/>
    </x:xf>
    <x:xf numFmtId="0" fontId="20" fillId="9" borderId="0" xfId="0" applyNumberFormat="1" applyFont="1" applyFill="1" applyBorder="1" applyAlignment="1">
      <x:alignment horizontal="left" vertical="center"/>
    </x:xf>
    <x:xf numFmtId="0" fontId="24" fillId="12" borderId="0" xfId="0" applyNumberFormat="1" applyFont="1" applyFill="1" applyBorder="1"/>
    <x:xf numFmtId="0" fontId="24" fillId="12" borderId="0" xfId="0" applyNumberFormat="1" applyFont="1" applyFill="1" applyBorder="1" applyAlignment="1">
      <x:alignment wrapText="1"/>
    </x:xf>
    <x:xf numFmtId="0" fontId="24" fillId="12" borderId="0" xfId="0" applyNumberFormat="1" applyFont="1" applyFill="1" applyBorder="1" applyAlignment="1">
      <x:alignment horizontal="center" wrapText="1"/>
    </x:xf>
    <x:xf numFmtId="0" fontId="9" fillId="9" borderId="0" xfId="0" applyNumberFormat="1" applyFont="1" applyFill="1" applyBorder="1"/>
    <x:xf numFmtId="0" fontId="1" fillId="9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26" fillId="10" borderId="0" xfId="0" applyNumberFormat="1" applyFont="1" applyFill="1" applyBorder="1"/>
    <x:xf numFmtId="0" fontId="26" fillId="10" borderId="0" xfId="0" applyNumberFormat="1" applyFont="1" applyFill="1" applyBorder="1" applyAlignment="1">
      <x:alignment vertical="center"/>
    </x:xf>
    <x:xf numFmtId="0" fontId="27" fillId="9" borderId="0" xfId="0" applyNumberFormat="1" applyFont="1" applyFill="1" applyBorder="1" applyAlignment="1">
      <x:alignment horizontal="center" vertical="center" wrapText="1"/>
    </x:xf>
    <x:xf numFmtId="0" fontId="26" fillId="12" borderId="0" xfId="0" applyNumberFormat="1" applyFont="1" applyFill="1" applyBorder="1" applyAlignment="1">
      <x:alignment vertical="center"/>
    </x:xf>
    <x:xf numFmtId="0" fontId="25" fillId="12" borderId="0" xfId="0" applyNumberFormat="1" applyFont="1" applyFill="1" applyBorder="1" applyAlignment="1">
      <x:alignment vertical="center"/>
    </x:xf>
    <x:xf numFmtId="0" fontId="25" fillId="12" borderId="0" xfId="0" applyNumberFormat="1" applyFont="1" applyFill="1" applyBorder="1" applyAlignment="1">
      <x:alignment vertical="center" wrapText="1"/>
    </x:xf>
    <x:xf numFmtId="0" fontId="2" fillId="10" borderId="0" xfId="0" applyNumberFormat="1" applyFont="1" applyFill="1" applyBorder="1" applyAlignment="1">
      <x:alignment horizontal="center" vertical="center" wrapText="1"/>
    </x:xf>
    <x:xf numFmtId="0" fontId="22" fillId="10" borderId="0" xfId="0" applyNumberFormat="1" applyFont="1" applyFill="1" applyBorder="1"/>
    <x:xf numFmtId="0" fontId="22" fillId="10" borderId="0" xfId="0" applyNumberFormat="1" applyFont="1" applyFill="1" applyBorder="1" applyAlignment="1">
      <x:alignment horizontal="center" vertical="center" wrapText="1"/>
    </x:xf>
    <x:xf numFmtId="0" fontId="22" fillId="10" borderId="0" xfId="0" applyNumberFormat="1" applyFont="1" applyFill="1" applyBorder="1" applyAlignment="1">
      <x:alignment vertical="center"/>
    </x:xf>
    <x:xf numFmtId="201" fontId="18" fillId="9" borderId="0" xfId="0" applyNumberFormat="1" applyFont="1" applyFill="1" applyBorder="1"/>
    <x:xf numFmtId="201" fontId="18" fillId="9" borderId="0" xfId="0" applyNumberFormat="1" applyFont="1" applyFill="1" applyBorder="1" applyAlignment="1">
      <x:alignment vertical="center"/>
    </x:xf>
    <x:xf numFmtId="0" fontId="22" fillId="12" borderId="0" xfId="0" applyNumberFormat="1" applyFont="1" applyFill="1" applyBorder="1" applyAlignment="1">
      <x:alignment horizontal="center" vertical="center" wrapText="1"/>
    </x:xf>
    <x:xf numFmtId="166" fontId="3" fillId="9" borderId="0" xfId="0" applyNumberFormat="1" applyFont="1" applyFill="1" applyBorder="1"/>
    <x:xf numFmtId="166" fontId="18" fillId="9" borderId="0" xfId="0" applyNumberFormat="1" applyFont="1" applyFill="1" applyBorder="1"/>
    <x:xf numFmtId="166" fontId="18" fillId="9" borderId="0" xfId="0" applyNumberFormat="1" applyFont="1" applyFill="1" applyBorder="1" applyAlignment="1">
      <x:alignment vertical="center"/>
    </x:xf>
    <x:xf numFmtId="0" fontId="2" fillId="10" borderId="0" xfId="0" applyNumberFormat="1" applyFont="1" applyFill="1" applyBorder="1" applyAlignment="1">
      <x:alignment horizontal="left" vertical="center"/>
    </x:xf>
    <x:xf numFmtId="0" fontId="22" fillId="10" borderId="0" xfId="0" applyNumberFormat="1" applyFont="1" applyFill="1" applyBorder="1" applyAlignment="1">
      <x:alignment horizontal="left" vertical="center"/>
    </x:xf>
    <x:xf numFmtId="0" fontId="22" fillId="12" borderId="0" xfId="0" applyNumberFormat="1" applyFont="1" applyFill="1" applyBorder="1" applyAlignment="1">
      <x:alignment horizontal="left" vertical="center"/>
    </x:xf>
    <x:xf numFmtId="0" fontId="18" fillId="9" borderId="0" xfId="0" applyNumberFormat="1" applyFont="1" applyFill="1" applyBorder="1" applyAlignment="1">
      <x:alignment vertical="center" wrapText="1"/>
    </x:xf>
    <x:xf numFmtId="0" fontId="20" fillId="9" borderId="0" xfId="0" applyNumberFormat="1" applyFont="1" applyFill="1" applyBorder="1" applyAlignment="1">
      <x:alignment horizontal="left" vertical="center" wrapText="1"/>
    </x:xf>
    <x:xf numFmtId="203" fontId="18" fillId="9" borderId="0" xfId="0" applyNumberFormat="1" applyFont="1" applyFill="1" applyBorder="1" applyAlignment="1">
      <x:alignment vertical="center"/>
    </x:xf>
    <x:xf numFmtId="203" fontId="20" fillId="9" borderId="0" xfId="0" applyNumberFormat="1" applyFont="1" applyFill="1" applyBorder="1" applyAlignment="1">
      <x:alignment horizontal="center" vertical="center" wrapText="1"/>
    </x:xf>
    <x:xf numFmtId="203" fontId="23" fillId="9" borderId="0" xfId="0" applyNumberFormat="1" applyFont="1" applyFill="1" applyBorder="1" applyAlignment="1">
      <x:alignment vertical="center"/>
    </x:xf>
    <x:xf numFmtId="204" fontId="22" fillId="10" borderId="0" xfId="0" applyNumberFormat="1" applyFont="1" applyFill="1" applyBorder="1" applyAlignment="1">
      <x:alignment horizontal="center" vertical="center"/>
    </x:xf>
    <x:xf numFmtId="204" fontId="3" fillId="9" borderId="0" xfId="0" applyNumberFormat="1" applyFont="1" applyFill="1" applyBorder="1"/>
    <x:xf numFmtId="204" fontId="0" fillId="0" borderId="0" xfId="0" applyNumberFormat="1" applyFont="1" applyFill="1" applyBorder="1"/>
    <x:xf numFmtId="0" fontId="24" fillId="11" xfId="0" applyNumberFormat="1" applyFont="1" applyFill="1" applyBorder="0" applyAlignment="1">
      <x:alignment horizontal="center" vertical="center"/>
    </x:xf>
    <x:xf numFmtId="0" fontId="28" fillId="11" xfId="0" applyNumberFormat="1" applyFont="1" applyFill="1" applyBorder="0"/>
    <x:xf numFmtId="0" fontId="2" fillId="11" borderId="0" xfId="0" applyNumberFormat="1" applyFont="1" applyFill="1" applyBorder="1" applyAlignment="1">
      <x:alignment horizontal="center" vertical="center"/>
    </x:xf>
    <x:xf numFmtId="0" fontId="24" fillId="11" borderId="0" xfId="0" applyNumberFormat="1" applyFont="1" applyFill="1" applyBorder="1" applyAlignment="1">
      <x:alignment horizontal="center" vertical="center"/>
    </x:xf>
    <x:xf numFmtId="0" fontId="28" fillId="11" borderId="0" xfId="0" applyNumberFormat="1" applyFont="1" applyFill="1" applyBorder="1"/>
    <x:xf numFmtId="201" fontId="28" fillId="11" borderId="0" xfId="0" applyNumberFormat="1" applyFont="1" applyFill="1" applyBorder="1"/>
    <x:xf numFmtId="201" fontId="28" fillId="11" xfId="0" applyNumberFormat="1" applyFont="1" applyFill="1" applyBorder="0"/>
    <x:xf numFmtId="0" fontId="24" fillId="10" xfId="0" applyNumberFormat="1" applyFont="1" applyFill="1" applyBorder="0" applyAlignment="1">
      <x:alignment horizontal="center" vertical="center"/>
    </x:xf>
    <x:xf numFmtId="0" fontId="6" fillId="12" borderId="0" xfId="0" applyNumberFormat="1" applyFont="1" applyFill="1" applyBorder="1" applyAlignment="1">
      <x:alignment wrapText="1"/>
    </x:xf>
    <x:xf numFmtId="0" fontId="29" fillId="12" borderId="0" xfId="0" applyNumberFormat="1" applyFont="1" applyFill="1" applyBorder="1" applyAlignment="1">
      <x:alignment horizontal="left" vertical="center"/>
    </x:xf>
    <x:xf numFmtId="0" fontId="30" fillId="12" borderId="0" xfId="0" applyNumberFormat="1" applyFont="1" applyFill="1" applyBorder="1" applyAlignment="1">
      <x:alignment wrapText="1"/>
    </x:xf>
    <x:xf numFmtId="0" fontId="29" fillId="12" borderId="0" xfId="0" applyNumberFormat="1" applyFont="1" applyFill="1" applyBorder="1" applyAlignment="1">
      <x:alignment horizontal="left" vertical="center" wrapText="1"/>
    </x:xf>
    <x:xf numFmtId="0" fontId="30" fillId="12" borderId="0" xfId="0" applyNumberFormat="1" applyFont="1" applyFill="1" applyBorder="1" applyAlignment="1">
      <x:alignment vertical="center" wrapText="1"/>
    </x:xf>
    <x:xf numFmtId="0" fontId="14" fillId="11" xfId="0" applyNumberFormat="1" applyFont="1" applyFill="1" applyBorder="0" applyAlignment="1">
      <x:alignment horizontal="left" vertical="center" wrapText="1"/>
    </x:xf>
    <x:xf numFmtId="202" fontId="14" fillId="11" xfId="0" applyNumberFormat="1" applyFont="1" applyFill="1" applyBorder="0" applyAlignment="1">
      <x:alignment horizontal="left" vertical="center" wrapText="1"/>
    </x:xf>
    <x:xf numFmtId="0" fontId="15" fillId="11" xfId="0" applyNumberFormat="1" applyFont="1" applyFill="1" applyBorder="0" applyAlignment="1">
      <x:alignment horizontal="left" vertical="center" wrapText="1"/>
    </x:xf>
    <x:xf numFmtId="202" fontId="15" fillId="11" xfId="0" applyNumberFormat="1" applyFont="1" applyFill="1" applyBorder="0" applyAlignment="1">
      <x:alignment horizontal="left" vertical="center" wrapText="1"/>
    </x:xf>
    <x:xf numFmtId="0" fontId="16" fillId="11" xfId="0" applyNumberFormat="1" applyFont="1" applyFill="1" applyBorder="0" applyAlignment="1">
      <x:alignment horizontal="left" vertical="center" wrapText="1"/>
    </x:xf>
    <x:xf numFmtId="164" fontId="16" fillId="11" xfId="0" applyNumberFormat="1" applyFont="1" applyFill="1" applyBorder="0" applyAlignment="1">
      <x:alignment horizontal="left" vertical="center" wrapText="1"/>
    </x:xf>
    <x:xf numFmtId="201" fontId="29" fillId="11" xfId="0" applyNumberFormat="1" applyFont="1" applyFill="1" applyBorder="0" applyAlignment="1">
      <x:alignment horizontal="left" vertical="center" wrapText="1"/>
    </x:xf>
    <x:xf numFmtId="0" fontId="31" fillId="11" xfId="0" applyNumberFormat="1" applyFont="1" applyFill="1" applyBorder="0" applyAlignment="1">
      <x:alignment horizontal="left" vertical="center" wrapText="1"/>
    </x:xf>
    <x:xf numFmtId="0" fontId="32" fillId="11" xfId="0" applyNumberFormat="1" applyFont="1" applyFill="1" applyBorder="0" applyAlignment="1">
      <x:alignment horizontal="left" vertical="center" wrapText="1"/>
    </x:xf>
    <x:xf numFmtId="0" fontId="33" fillId="11" xfId="0" applyNumberFormat="1" applyFont="1" applyFill="1" applyBorder="0" applyAlignment="1">
      <x:alignment horizontal="left" vertical="center" wrapText="1"/>
    </x:xf>
    <x:xf numFmtId="164" fontId="29" fillId="11" xfId="0" applyNumberFormat="1" applyFont="1" applyFill="1" applyBorder="0" applyAlignment="1">
      <x:alignment horizontal="left" vertical="center" wrapText="1"/>
    </x:xf>
    <x:xf numFmtId="0" fontId="6" fillId="10" borderId="0" xfId="0" applyNumberFormat="1" applyFont="1" applyFill="1" applyBorder="1" applyAlignment="1">
      <x:alignment wrapText="1"/>
    </x:xf>
    <x:xf numFmtId="0" fontId="19" fillId="10" borderId="0" xfId="0" applyNumberFormat="1" applyFont="1" applyFill="1" applyBorder="1" applyAlignment="1">
      <x:alignment horizontal="left" vertical="center"/>
    </x:xf>
    <x:xf numFmtId="0" fontId="34" fillId="10" borderId="0" xfId="0" applyNumberFormat="1" applyFont="1" applyFill="1" applyBorder="1" applyAlignment="1">
      <x:alignment wrapText="1"/>
    </x:xf>
    <x:xf numFmtId="0" fontId="19" fillId="10" borderId="0" xfId="0" applyNumberFormat="1" applyFont="1" applyFill="1" applyBorder="1" applyAlignment="1">
      <x:alignment horizontal="left" vertical="center" wrapText="1"/>
    </x:xf>
    <x:xf numFmtId="0" fontId="34" fillId="10" borderId="0" xfId="0" applyNumberFormat="1" applyFont="1" applyFill="1" applyBorder="1" applyAlignment="1">
      <x:alignment vertical="center" wrapText="1"/>
    </x:xf>
    <x:xf numFmtId="164" fontId="28" fillId="11" xfId="0" applyNumberFormat="1" applyFont="1" applyFill="1" applyBorder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43754a30af4588" /><Relationship Type="http://schemas.openxmlformats.org/officeDocument/2006/relationships/theme" Target="/xl/theme/theme1.xml" Id="R9c24b8ff5482489a" /><Relationship Type="http://schemas.openxmlformats.org/officeDocument/2006/relationships/sharedStrings" Target="/xl/sharedStrings.xml" Id="Rdc72f0091a864d19" /><Relationship Type="http://schemas.openxmlformats.org/officeDocument/2006/relationships/worksheet" Target="/xl/worksheets/sheet1.xml" Id="R852708d4ecd7415d" /><Relationship Type="http://schemas.openxmlformats.org/officeDocument/2006/relationships/worksheet" Target="/xl/worksheets/sheet2.xml" Id="R2ab8d2fa5e934b3b" /><Relationship Type="http://schemas.openxmlformats.org/officeDocument/2006/relationships/worksheet" Target="/xl/worksheets/sheet3.xml" Id="Red9c357737d042d3" /><Relationship Type="http://schemas.openxmlformats.org/officeDocument/2006/relationships/worksheet" Target="/xl/worksheets/sheet4.xml" Id="Rc97fe677fc8b4c9c" /><Relationship Type="http://schemas.openxmlformats.org/officeDocument/2006/relationships/worksheet" Target="/xl/worksheets/sheet5.xml" Id="R1d31cc8f6fdb409c" /><Relationship Type="http://schemas.openxmlformats.org/officeDocument/2006/relationships/worksheet" Target="/xl/worksheets/sheet6.xml" Id="Rdde51387272e4382" /><Relationship Type="http://schemas.openxmlformats.org/officeDocument/2006/relationships/worksheet" Target="/xl/worksheets/sheet7.xml" Id="R47d8e70c0c9a4fff" /><Relationship Type="http://schemas.openxmlformats.org/officeDocument/2006/relationships/worksheet" Target="/xl/worksheets/sheet8.xml" Id="Rae36e0733d904728" /><Relationship Type="http://schemas.openxmlformats.org/officeDocument/2006/relationships/worksheet" Target="/xl/worksheets/sheet9.xml" Id="R9795b0a4ecad47d2" /><Relationship Type="http://schemas.openxmlformats.org/officeDocument/2006/relationships/worksheet" Target="/xl/worksheets/sheet10.xml" Id="Rc007a7be59d147a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18afb25003f4cd3" /><Relationship Type="http://schemas.openxmlformats.org/officeDocument/2006/relationships/chart" Target="/xl/drawings/charts/chart2.xml" Id="R5a2e1cb73666400f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21256373b6344a7c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60163385495742cc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dcab993dfc4246fe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a8fdecc8f3864d06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chart" Target="/xl/drawings/charts/chart7.xml" Id="R189193cfd28a4f1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Momentum</a:t>
            </a:r>
          </a:p>
        </c:rich>
      </c:tx>
    </c:title>
    <c:plotArea>
      <c:lineChart>
        <c:grouping val="standard"/>
        <c:ser>
          <c:idx val="0"/>
          <c:order val="0"/>
          <c:tx>
            <c:v>Revenue (₹ Cr)</c:v>
          </c:tx>
          <c:marker>
            <c:symbol val="none"/>
          </c:marker>
          <c:cat>
            <c:strRef>
              <c:f>'KPI Dashboard'!$A$13:$A$24</c:f>
              <c:strCache>
                <c:ptCount val="0"/>
              </c:strCache>
            </c:strRef>
          </c:cat>
          <c:val>
            <c:numRef>
              <c:f>'KPI Dashboard'!$B$13:$B$24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by Category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Revenue (₹ Cr)</c:v>
          </c:tx>
          <c:cat>
            <c:strRef>
              <c:f>'KPI Dashboard'!$G$13:$G$22</c:f>
              <c:strCache>
                <c:ptCount val="0"/>
              </c:strCache>
            </c:strRef>
          </c:cat>
          <c:val>
            <c:numRef>
              <c:f>'KPI Dashboard'!$H$13:$H$22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Revenue &amp; Profit</a:t>
            </a:r>
          </a:p>
        </c:rich>
      </c:tx>
    </c:title>
    <c:autoTitleDeleted val="0"/>
    <c:plotArea>
      <c:lineChart>
        <c:grouping val="standard"/>
        <c:varyColors val="0"/>
        <c:ser>
          <c:idx val="0"/>
          <c:order val="0"/>
          <c:tx>
            <c:v>Revenue (₹ Cr)</c:v>
          </c:tx>
          <c:marker>
            <c:symbol val="none"/>
          </c:marker>
          <c:cat>
            <c:numRef>
              <c:f>'Monthly Sales Analysis'!$A$5:$A$16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'Monthly Sales Analysis'!$B$5:$B$16</c:f>
              <c:numCache>
                <c:formatCode>0.0</c:formatCode>
                <c:ptCount val="12"/>
                <c:pt idx="0">
                  <c:v>0.100411759</c:v>
                </c:pt>
                <c:pt idx="1">
                  <c:v>0.09493826600000002</c:v>
                </c:pt>
                <c:pt idx="2">
                  <c:v>0.092430448</c:v>
                </c:pt>
                <c:pt idx="3">
                  <c:v>0.074923329</c:v>
                </c:pt>
                <c:pt idx="4">
                  <c:v>0.08651112099999998</c:v>
                </c:pt>
                <c:pt idx="5">
                  <c:v>0.072810978</c:v>
                </c:pt>
                <c:pt idx="6">
                  <c:v>0.09796841599999997</c:v>
                </c:pt>
                <c:pt idx="7">
                  <c:v>0.085706101</c:v>
                </c:pt>
                <c:pt idx="8">
                  <c:v>0.08454515</c:v>
                </c:pt>
                <c:pt idx="9">
                  <c:v>0.088343482</c:v>
                </c:pt>
                <c:pt idx="10">
                  <c:v>0.09632198099999999</c:v>
                </c:pt>
                <c:pt idx="11">
                  <c:v>0.07464096399999999</c:v>
                </c:pt>
              </c:numCache>
            </c:numRef>
          </c:val>
        </c:ser>
        <c:ser>
          <c:idx val="1"/>
          <c:order val="1"/>
          <c:tx>
            <c:v>Gross Profit (₹ Cr)</c:v>
          </c:tx>
          <c:marker>
            <c:symbol val="none"/>
          </c:marker>
          <c:cat>
            <c:numRef>
              <c:f>'Monthly Sales Analysis'!$A$5:$A$16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'Monthly Sales Analysis'!$C$5:$C$16</c:f>
              <c:numCache>
                <c:formatCode>0.0</c:formatCode>
                <c:ptCount val="12"/>
                <c:pt idx="0">
                  <c:v>0.061916261431757276</c:v>
                </c:pt>
                <c:pt idx="1">
                  <c:v>0.05839963153677259</c:v>
                </c:pt>
                <c:pt idx="2">
                  <c:v>0.05685909551620023</c:v>
                </c:pt>
                <c:pt idx="3">
                  <c:v>0.04708560116080061</c:v>
                </c:pt>
                <c:pt idx="4">
                  <c:v>0.05371380173762466</c:v>
                </c:pt>
                <c:pt idx="5">
                  <c:v>0.04462662063645372</c:v>
                </c:pt>
                <c:pt idx="6">
                  <c:v>0.06036465444423884</c:v>
                </c:pt>
                <c:pt idx="7">
                  <c:v>0.052241102676754435</c:v>
                </c:pt>
                <c:pt idx="8">
                  <c:v>0.0519108126895467</c:v>
                </c:pt>
                <c:pt idx="9">
                  <c:v>0.05369681124155495</c:v>
                </c:pt>
                <c:pt idx="10">
                  <c:v>0.059696962858204916</c:v>
                </c:pt>
                <c:pt idx="11">
                  <c:v>0.04605238656164365</c:v>
                </c:pt>
              </c:numCache>
            </c:numRef>
          </c:val>
        </c:ser>
        <c:ser>
          <c:idx val="2"/>
          <c:order val="2"/>
          <c:tx>
            <c:v>Net Profit (₹ Cr)</c:v>
          </c:tx>
          <c:marker>
            <c:symbol val="none"/>
          </c:marker>
          <c:cat>
            <c:numRef>
              <c:f>'Monthly Sales Analysis'!$A$5:$A$16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'Monthly Sales Analysis'!$D$5:$D$16</c:f>
              <c:numCache>
                <c:formatCode>0.0</c:formatCode>
                <c:ptCount val="12"/>
                <c:pt idx="0">
                  <c:v>0.047274668422329726</c:v>
                </c:pt>
                <c:pt idx="1">
                  <c:v>0.0443322531222773</c:v>
                </c:pt>
                <c:pt idx="2">
                  <c:v>0.04328081423325995</c:v>
                </c:pt>
                <c:pt idx="3">
                  <c:v>0.03605124601579236</c:v>
                </c:pt>
                <c:pt idx="4">
                  <c:v>0.041207068040494</c:v>
                </c:pt>
                <c:pt idx="5">
                  <c:v>0.034073895413618584</c:v>
                </c:pt>
                <c:pt idx="6">
                  <c:v>0.046481300574087524</c:v>
                </c:pt>
                <c:pt idx="7">
                  <c:v>0.03969316967759796</c:v>
                </c:pt>
                <c:pt idx="8">
                  <c:v>0.03957095633812778</c:v>
                </c:pt>
                <c:pt idx="9">
                  <c:v>0.04069796560656495</c:v>
                </c:pt>
                <c:pt idx="10">
                  <c:v>0.04552576350279773</c:v>
                </c:pt>
                <c:pt idx="11">
                  <c:v>0.03563123525848165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mmm\-yy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months"/>
      </c:date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by Product</a:t>
            </a:r>
          </a:p>
        </c:rich>
      </c:tx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v>Revenue (₹ Cr)</c:v>
          </c:tx>
          <c:cat>
            <c:strRef>
              <c:f>'Product Performance'!$A$5:$A$14</c:f>
              <c:strCache>
                <c:ptCount val="10"/>
                <c:pt idx="0">
                  <c:v>Caffe Latte</c:v>
                </c:pt>
                <c:pt idx="1">
                  <c:v>Cappuccino</c:v>
                </c:pt>
                <c:pt idx="2">
                  <c:v>Americano</c:v>
                </c:pt>
                <c:pt idx="3">
                  <c:v>Cold Brew</c:v>
                </c:pt>
                <c:pt idx="4">
                  <c:v>Frappuccino</c:v>
                </c:pt>
                <c:pt idx="5">
                  <c:v>Mocha</c:v>
                </c:pt>
                <c:pt idx="6">
                  <c:v>Tea Latte</c:v>
                </c:pt>
                <c:pt idx="7">
                  <c:v>Bakery</c:v>
                </c:pt>
                <c:pt idx="8">
                  <c:v>Sandwich</c:v>
                </c:pt>
                <c:pt idx="9">
                  <c:v>Merchandise</c:v>
                </c:pt>
              </c:strCache>
            </c:strRef>
          </c:cat>
          <c:val>
            <c:numRef>
              <c:f>'Product Performance'!$B$5:$B$14</c:f>
              <c:numCache>
                <c:formatCode>0.0</c:formatCode>
                <c:ptCount val="10"/>
                <c:pt idx="0">
                  <c:v>0.10826413</c:v>
                </c:pt>
                <c:pt idx="1">
                  <c:v>0.11884709199999999</c:v>
                </c:pt>
                <c:pt idx="2">
                  <c:v>0.10639387900000001</c:v>
                </c:pt>
                <c:pt idx="3">
                  <c:v>0.102949826</c:v>
                </c:pt>
                <c:pt idx="4">
                  <c:v>0.097625659</c:v>
                </c:pt>
                <c:pt idx="5">
                  <c:v>0.115290415</c:v>
                </c:pt>
                <c:pt idx="6">
                  <c:v>0.112825973</c:v>
                </c:pt>
                <c:pt idx="7">
                  <c:v>0.09729445000000002</c:v>
                </c:pt>
                <c:pt idx="8">
                  <c:v>0.09944095299999998</c:v>
                </c:pt>
                <c:pt idx="9">
                  <c:v>0.090619618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Regional Revenue</a:t>
            </a:r>
          </a:p>
        </c:rich>
      </c:tx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v>Revenue (₹ Cr)</c:v>
          </c:tx>
          <c:cat>
            <c:strRef>
              <c:f>'Regional Performance'!$A$5:$A$10</c:f>
              <c:strCache>
                <c:ptCount val="6"/>
                <c:pt idx="0">
                  <c:v>North</c:v>
                </c:pt>
                <c:pt idx="1">
                  <c:v>South</c:v>
                </c:pt>
                <c:pt idx="2">
                  <c:v>West</c:v>
                </c:pt>
                <c:pt idx="3">
                  <c:v>East</c:v>
                </c:pt>
                <c:pt idx="4">
                  <c:v>Central</c:v>
                </c:pt>
                <c:pt idx="5">
                  <c:v>Metro</c:v>
                </c:pt>
              </c:strCache>
            </c:strRef>
          </c:cat>
          <c:val>
            <c:numRef>
              <c:f>'Regional Performance'!$B$5:$B$10</c:f>
              <c:numCache>
                <c:formatCode>0.0</c:formatCode>
                <c:ptCount val="6"/>
                <c:pt idx="0">
                  <c:v>0.17532446599999996</c:v>
                </c:pt>
                <c:pt idx="1">
                  <c:v>0.178069261</c:v>
                </c:pt>
                <c:pt idx="2">
                  <c:v>0.185819781</c:v>
                </c:pt>
                <c:pt idx="3">
                  <c:v>0.18138822799999998</c:v>
                </c:pt>
                <c:pt idx="4">
                  <c:v>0.163406347</c:v>
                </c:pt>
                <c:pt idx="5">
                  <c:v>0.165543912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by Customer Segment</a:t>
            </a:r>
          </a:p>
        </c:rich>
      </c:tx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v>Revenue (₹ Cr)</c:v>
          </c:tx>
          <c:cat>
            <c:strRef>
              <c:f>'Customer Segment Analysis'!$A$5:$A$10</c:f>
              <c:strCache>
                <c:ptCount val="6"/>
                <c:pt idx="0">
                  <c:v>Loyalty Member</c:v>
                </c:pt>
                <c:pt idx="1">
                  <c:v>Premium Retail</c:v>
                </c:pt>
                <c:pt idx="2">
                  <c:v>Digital</c:v>
                </c:pt>
                <c:pt idx="3">
                  <c:v>Enterprise</c:v>
                </c:pt>
                <c:pt idx="4">
                  <c:v>Institutional</c:v>
                </c:pt>
                <c:pt idx="5">
                  <c:v>SMB</c:v>
                </c:pt>
              </c:strCache>
            </c:strRef>
          </c:cat>
          <c:val>
            <c:numRef>
              <c:f>'Customer Segment Analysis'!$B$5:$B$10</c:f>
              <c:numCache>
                <c:formatCode>0.0</c:formatCode>
                <c:ptCount val="6"/>
                <c:pt idx="0">
                  <c:v>0.17532446599999996</c:v>
                </c:pt>
                <c:pt idx="1">
                  <c:v>0.178069261</c:v>
                </c:pt>
                <c:pt idx="2">
                  <c:v>0.185819781</c:v>
                </c:pt>
                <c:pt idx="3">
                  <c:v>0.18138822799999998</c:v>
                </c:pt>
                <c:pt idx="4">
                  <c:v>0.163406347</c:v>
                </c:pt>
                <c:pt idx="5">
                  <c:v>0.165543912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6-Month Revenue &amp; Profit Forecast</a:t>
            </a:r>
          </a:p>
        </c:rich>
      </c:tx>
    </c:title>
    <c:autoTitleDeleted val="0"/>
    <c:plotArea>
      <c:lineChart>
        <c:grouping val="standard"/>
        <c:varyColors val="0"/>
        <c:ser>
          <c:idx val="0"/>
          <c:order val="0"/>
          <c:tx>
            <c:v>Forecast Revenue (₹ Cr)</c:v>
          </c:tx>
          <c:marker>
            <c:symbol val="none"/>
          </c:marker>
          <c:cat>
            <c:numRef>
              <c:f>'Forecast (Next 6 Months)'!$A$5:$A$10</c:f>
              <c:numCache>
                <c:formatCode>mmm\-yy</c:formatCode>
                <c:ptCount val="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</c:numCache>
            </c:numRef>
          </c:cat>
          <c:val>
            <c:numRef>
              <c:f>'Forecast (Next 6 Months)'!$B$5:$B$10</c:f>
              <c:numCache>
                <c:formatCode>0.0</c:formatCode>
                <c:ptCount val="6"/>
                <c:pt idx="0">
                  <c:v>0.08946071731499998</c:v>
                </c:pt>
                <c:pt idx="1">
                  <c:v>0.08972002374199999</c:v>
                </c:pt>
                <c:pt idx="2">
                  <c:v>0.08997933016899998</c:v>
                </c:pt>
                <c:pt idx="3">
                  <c:v>0.09023863659599998</c:v>
                </c:pt>
                <c:pt idx="4">
                  <c:v>0.09049794302299997</c:v>
                </c:pt>
                <c:pt idx="5">
                  <c:v>0.09075724944999998</c:v>
                </c:pt>
              </c:numCache>
            </c:numRef>
          </c:val>
        </c:ser>
        <c:ser>
          <c:idx val="1"/>
          <c:order val="1"/>
          <c:tx>
            <c:v>Forecast Gross Profit (₹ Cr)</c:v>
          </c:tx>
          <c:marker>
            <c:symbol val="none"/>
          </c:marker>
          <c:cat>
            <c:numRef>
              <c:f>'Forecast (Next 6 Months)'!$A$5:$A$10</c:f>
              <c:numCache>
                <c:formatCode>mmm\-yy</c:formatCode>
                <c:ptCount val="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</c:numCache>
            </c:numRef>
          </c:cat>
          <c:val>
            <c:numRef>
              <c:f>'Forecast (Next 6 Months)'!$C$5:$C$10</c:f>
              <c:numCache>
                <c:formatCode>0.0</c:formatCode>
                <c:ptCount val="6"/>
                <c:pt idx="0">
                  <c:v>0.05500892542818421</c:v>
                </c:pt>
                <c:pt idx="1">
                  <c:v>0.05516837158884562</c:v>
                </c:pt>
                <c:pt idx="2">
                  <c:v>0.05532781774950702</c:v>
                </c:pt>
                <c:pt idx="3">
                  <c:v>0.05548726391016843</c:v>
                </c:pt>
                <c:pt idx="4">
                  <c:v>0.05564671007082982</c:v>
                </c:pt>
                <c:pt idx="5">
                  <c:v>0.05580615623149123</c:v>
                </c:pt>
              </c:numCache>
            </c:numRef>
          </c:val>
        </c:ser>
        <c:ser>
          <c:idx val="2"/>
          <c:order val="2"/>
          <c:tx>
            <c:v>Forecast Net Profit (₹ Cr)</c:v>
          </c:tx>
          <c:marker>
            <c:symbol val="none"/>
          </c:marker>
          <c:cat>
            <c:numRef>
              <c:f>'Forecast (Next 6 Months)'!$A$5:$A$10</c:f>
              <c:numCache>
                <c:formatCode>mmm\-yy</c:formatCode>
                <c:ptCount val="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</c:numCache>
            </c:numRef>
          </c:cat>
          <c:val>
            <c:numRef>
              <c:f>'Forecast (Next 6 Months)'!$D$5:$D$10</c:f>
              <c:numCache>
                <c:formatCode>0.0</c:formatCode>
                <c:ptCount val="6"/>
                <c:pt idx="0">
                  <c:v>0.04203996270690629</c:v>
                </c:pt>
                <c:pt idx="1">
                  <c:v>0.042161817671274145</c:v>
                </c:pt>
                <c:pt idx="2">
                  <c:v>0.04228367263564198</c:v>
                </c:pt>
                <c:pt idx="3">
                  <c:v>0.04240552760000983</c:v>
                </c:pt>
                <c:pt idx="4">
                  <c:v>0.04252738256437767</c:v>
                </c:pt>
                <c:pt idx="5">
                  <c:v>0.04264923752874552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mmm\-yy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months"/>
      </c:date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30</xdr:row>
      <xdr:rowOff>0</xdr:rowOff>
    </xdr:from>
    <xdr:to>
      <xdr:col>6</xdr:col>
      <xdr:colOff>0</xdr:colOff>
      <xdr:row>44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18afb25003f4cd3"/>
        </a:graphicData>
      </a:graphic>
    </xdr:graphicFrame>
    <xdr:clientData/>
  </xdr:twoCellAnchor>
  <xdr:twoCellAnchor>
    <xdr:from>
      <xdr:col>6</xdr:col>
      <xdr:colOff>0</xdr:colOff>
      <xdr:row>30</xdr:row>
      <xdr:rowOff>0</xdr:rowOff>
    </xdr:from>
    <xdr:to>
      <xdr:col>12</xdr:col>
      <xdr:colOff>0</xdr:colOff>
      <xdr:row>44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a2e1cb73666400f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9525</xdr:colOff>
      <xdr:row>18</xdr:row>
      <xdr:rowOff>57150</xdr:rowOff>
    </xdr:from>
    <xdr:to>
      <xdr:col>13</xdr:col>
      <xdr:colOff>9525</xdr:colOff>
      <xdr:row>38</xdr:row>
      <xdr:rowOff>85725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1256373b6344a7c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0</xdr:col>
      <xdr:colOff>0</xdr:colOff>
      <xdr:row>15</xdr:row>
      <xdr:rowOff>57150</xdr:rowOff>
    </xdr:from>
    <xdr:to>
      <xdr:col>6</xdr:col>
      <xdr:colOff>352425</xdr:colOff>
      <xdr:row>32</xdr:row>
      <xdr:rowOff>57150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0163385495742cc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0</xdr:col>
      <xdr:colOff>0</xdr:colOff>
      <xdr:row>11</xdr:row>
      <xdr:rowOff>9525</xdr:rowOff>
    </xdr:from>
    <xdr:to>
      <xdr:col>8</xdr:col>
      <xdr:colOff>0</xdr:colOff>
      <xdr:row>28</xdr:row>
      <xdr:rowOff>9525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cab993dfc4246fe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0</xdr:col>
      <xdr:colOff>0</xdr:colOff>
      <xdr:row>12</xdr:row>
      <xdr:rowOff>28575</xdr:rowOff>
    </xdr:from>
    <xdr:to>
      <xdr:col>7</xdr:col>
      <xdr:colOff>0</xdr:colOff>
      <xdr:row>29</xdr:row>
      <xdr:rowOff>28575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8fdecc8f3864d0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>
  <xdr:twoCellAnchor>
    <xdr:from>
      <xdr:col>0</xdr:col>
      <xdr:colOff>0</xdr:colOff>
      <xdr:row>13</xdr:row>
      <xdr:rowOff>0</xdr:rowOff>
    </xdr:from>
    <xdr:to>
      <xdr:col>6</xdr:col>
      <xdr:colOff>533400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89193cfd28a4f1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awDataTable" displayName="RawDataTable" ref="A4:Q364" totalsRowShown="0">
  <x:tableColumns count="17">
    <x:tableColumn id="1" name="Transaction ID"/>
    <x:tableColumn id="2" name="Date"/>
    <x:tableColumn id="3" name="Region"/>
    <x:tableColumn id="4" name="City"/>
    <x:tableColumn id="5" name="Product"/>
    <x:tableColumn id="6" name="Customer Segment"/>
    <x:tableColumn id="7" name="Customer"/>
    <x:tableColumn id="8" name="Units"/>
    <x:tableColumn id="9" name="Unit Price (₹)"/>
    <x:tableColumn id="10" name="Discount %"/>
    <x:tableColumn id="11" name="Gross Sales (₹)"/>
    <x:tableColumn id="12" name="Revenue (₹)"/>
    <x:tableColumn id="13" name="COGS (₹)"/>
    <x:tableColumn id="14" name="Gross Profit (₹)"/>
    <x:tableColumn id="15" name="Operating Expense (₹)"/>
    <x:tableColumn id="16" name="Net Profit (₹)"/>
    <x:tableColumn id="17" name="Sales Target (₹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alesTransactionsTable" displayName="SalesTransactionsTable" ref="A4:T364" totalsRowShown="0">
  <x:tableColumns count="20">
    <x:tableColumn id="1" name="Transaction ID"/>
    <x:tableColumn id="2" name="Date"/>
    <x:tableColumn id="3" name="Region"/>
    <x:tableColumn id="4" name="City"/>
    <x:tableColumn id="5" name="Product"/>
    <x:tableColumn id="6" name="Customer Segment"/>
    <x:tableColumn id="7" name="Customer"/>
    <x:tableColumn id="8" name="Units"/>
    <x:tableColumn id="9" name="Unit Price (₹)"/>
    <x:tableColumn id="10" name="Discount %"/>
    <x:tableColumn id="11" name="Gross Sales (₹)"/>
    <x:tableColumn id="12" name="Revenue (₹)"/>
    <x:tableColumn id="13" name="COGS (₹)"/>
    <x:tableColumn id="14" name="Gross Profit (₹)"/>
    <x:tableColumn id="15" name="Operating Expense (₹)"/>
    <x:tableColumn id="16" name="Net Profit (₹)"/>
    <x:tableColumn id="17" name="Sales Target (₹)"/>
    <x:tableColumn id="18" name="Gross Margin %"/>
    <x:tableColumn id="19" name="Net Margin %"/>
    <x:tableColumn id="20" name="Attainment %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701f71f33ba40f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9f204b47cb9456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3da46f09eadb422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cd10a5d832784c8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3.xml" Id="R3b4ede9450f44cb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4.xml" Id="Rc896f6c916a0446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5.xml" Id="Re8b00c702357433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6.xml" Id="R4df0ecff00964937" /></Relationships>
</file>

<file path=xl/worksheets/sheet1.xml><?xml version="1.0" encoding="utf-8"?>
<x:worksheet xmlns:x="http://schemas.openxmlformats.org/spreadsheetml/2006/main">
  <x:sheetFormatPr defaultRowHeight="14.25"/>
  <x:cols>
    <x:col min="1" max="1" width="11" hidden="0" customWidth="1"/>
    <x:col min="2" max="2" width="12" hidden="0" customWidth="1"/>
    <x:col min="3" max="3" width="12" hidden="0" customWidth="1"/>
    <x:col min="4" max="4" width="14" hidden="0" customWidth="1"/>
    <x:col min="5" max="5" width="13" hidden="0" customWidth="1"/>
    <x:col min="6" max="6" width="12" hidden="0" customWidth="1"/>
    <x:col min="7" max="7" width="13" hidden="0" customWidth="1"/>
    <x:col min="8" max="8" width="13" hidden="0" customWidth="1"/>
    <x:col min="9" max="9" width="14" hidden="0" customWidth="1"/>
    <x:col min="10" max="10" width="12" hidden="0" customWidth="1"/>
    <x:col min="11" max="11" width="13" hidden="0" customWidth="1"/>
    <x:col min="12" max="12" width="13" hidden="0" customWidth="1"/>
    <x:col min="13" max="13" width="14" hidden="0" customWidth="1"/>
    <x:col min="14" max="14" width="14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</x:cols>
  <x:sheetData>
    <x:row r="1" ht="30" customHeight="1">
      <x:c r="A1" s="201" t="str">
        <x:v>Zomato India | Raw Data</x:v>
      </x:c>
      <x:c r="B1" s="201"/>
      <x:c r="C1" s="201"/>
      <x:c r="D1" s="201"/>
      <x:c r="E1" s="201"/>
      <x:c r="F1" s="201"/>
      <x:c r="G1" s="201"/>
      <x:c r="H1" s="201"/>
      <x:c r="I1" s="201"/>
      <x:c r="J1" s="201"/>
      <x:c r="K1" s="201"/>
      <x:c r="L1" s="201"/>
      <x:c r="M1" s="201"/>
      <x:c r="N1" s="201"/>
      <x:c r="O1" s="201"/>
      <x:c r="P1" s="201"/>
      <x:c r="Q1" s="201"/>
      <x:c r="R1" s="204"/>
      <x:c r="S1" s="204"/>
      <x:c r="T1" s="204"/>
      <x:c r="U1" s="204"/>
      <x:c r="V1" s="204"/>
      <x:c r="W1" s="204"/>
      <x:c r="X1" s="204"/>
      <x:c r="Y1" s="204"/>
      <x:c r="Z1" s="204"/>
    </x:row>
    <x:row r="2" ht="20.100000381469727" customHeight="1">
      <x:c r="A2" s="187" t="str">
        <x:v>Fictional portfolio dataset | 12 months | MBA case study | For academic/demo use only</x:v>
      </x:c>
      <x:c r="B2" s="187"/>
      <x:c r="C2" s="234"/>
      <x:c r="D2" s="187"/>
      <x:c r="E2" s="187"/>
      <x:c r="F2" s="187"/>
      <x:c r="G2" s="187"/>
      <x:c r="H2" s="187"/>
      <x:c r="I2" s="187"/>
      <x:c r="J2" s="187"/>
      <x:c r="K2" s="187"/>
      <x:c r="L2" s="187"/>
      <x:c r="M2" s="187"/>
      <x:c r="N2" s="187"/>
      <x:c r="O2" s="187"/>
      <x:c r="P2" s="187"/>
      <x:c r="Q2" s="187"/>
    </x:row>
    <x:row r="3" ht="15">
      <x:c r="A3" s="187"/>
      <x:c r="B3" s="187"/>
      <x:c r="C3" s="234"/>
      <x:c r="D3" s="187"/>
      <x:c r="E3" s="187"/>
      <x:c r="F3" s="187"/>
      <x:c r="G3" s="187"/>
      <x:c r="H3" s="187"/>
      <x:c r="I3" s="187"/>
      <x:c r="J3" s="187"/>
      <x:c r="K3" s="187"/>
      <x:c r="L3" s="187"/>
      <x:c r="M3" s="187"/>
      <x:c r="N3" s="187"/>
      <x:c r="O3" s="187"/>
      <x:c r="P3" s="187"/>
      <x:c r="Q3" s="187"/>
    </x:row>
    <x:row r="4">
      <x:c r="A4" s="177" t="str">
        <x:v>Order ID</x:v>
      </x:c>
      <x:c r="B4" s="177" t="str">
        <x:v>Date</x:v>
      </x:c>
      <x:c r="C4" s="235" t="str">
        <x:v>Region</x:v>
      </x:c>
      <x:c r="D4" s="177" t="str">
        <x:v>City</x:v>
      </x:c>
      <x:c r="E4" s="177" t="str">
        <x:v>Cuisine / Category</x:v>
      </x:c>
      <x:c r="F4" s="177" t="str">
        <x:v>Customer Segment</x:v>
      </x:c>
      <x:c r="G4" s="177" t="str">
        <x:v>Customer</x:v>
      </x:c>
      <x:c r="H4" s="177" t="str">
        <x:v>Orders</x:v>
      </x:c>
      <x:c r="I4" s="177" t="str">
        <x:v>Gross AOV (₹)</x:v>
      </x:c>
      <x:c r="J4" s="177" t="str">
        <x:v>Discount %</x:v>
      </x:c>
      <x:c r="K4" s="177" t="str">
        <x:v>Gross Sales (₹)</x:v>
      </x:c>
      <x:c r="L4" s="177" t="str">
        <x:v>Revenue (₹)</x:v>
      </x:c>
      <x:c r="M4" s="177" t="str">
        <x:v>COGS (₹)</x:v>
      </x:c>
      <x:c r="N4" s="177" t="str">
        <x:v>Gross Profit (₹)</x:v>
      </x:c>
      <x:c r="O4" s="177" t="str">
        <x:v>Operating Expense (₹)</x:v>
      </x:c>
      <x:c r="P4" s="177" t="str">
        <x:v>Net Profit (₹)</x:v>
      </x:c>
      <x:c r="Q4" s="177" t="str">
        <x:v>Sales Target (₹)</x:v>
      </x:c>
    </x:row>
    <x:row r="5" ht="15">
      <x:c r="A5" s="187" t="str">
        <x:v>ZOM-0001</x:v>
      </x:c>
      <x:c r="B5" s="188" t="n">
        <x:v>45658</x:v>
      </x:c>
      <x:c r="C5" s="234" t="str">
        <x:v>East</x:v>
      </x:c>
      <x:c r="D5" s="187" t="str">
        <x:v>Kolkata</x:v>
      </x:c>
      <x:c r="E5" s="187" t="str">
        <x:v>Desserts</x:v>
      </x:c>
      <x:c r="F5" s="187" t="str">
        <x:v>Repeat User</x:v>
      </x:c>
      <x:c r="G5" s="187" t="str">
        <x:v>Repeat User Customer 15</x:v>
      </x:c>
      <x:c r="H5" s="189" t="n">
        <x:v>77</x:v>
      </x:c>
      <x:c r="I5" s="190" t="n">
        <x:v>318</x:v>
      </x:c>
      <x:c r="J5" s="191" t="n">
        <x:v>0.030000000000000002</x:v>
      </x:c>
      <x:c r="K5" s="190" t="n">
        <x:f>H5*I5</x:f>
        <x:v>24486</x:v>
      </x:c>
      <x:c r="L5" s="190" t="n">
        <x:f>K5*(1-J5)</x:f>
        <x:v>23751.42</x:v>
      </x:c>
      <x:c r="M5" s="190" t="n">
        <x:f>L5*(0.74-IF(E5="Healthy",0.04,IF(E5="Beverages",0.06,IF(E5="Desserts",0.05,IF(E5="North Indian",0.01,0)))))</x:f>
        <x:v>16388.479799999997</x:v>
      </x:c>
      <x:c r="N5" s="190" t="n">
        <x:f>L5-M5</x:f>
        <x:v>7362.940200000001</x:v>
      </x:c>
      <x:c r="O5" s="190" t="n">
        <x:f>L5*0.13</x:f>
        <x:v>3087.6846</x:v>
      </x:c>
      <x:c r="P5" s="190" t="n">
        <x:f>N5-O5</x:f>
        <x:v>4275.2556</x:v>
      </x:c>
      <x:c r="Q5" s="190" t="n">
        <x:v>24018.46739927441</x:v>
      </x:c>
    </x:row>
    <x:row r="6" ht="15">
      <x:c r="A6" s="187" t="str">
        <x:v>ZOM-0002</x:v>
      </x:c>
      <x:c r="B6" s="188" t="n">
        <x:v>45659</x:v>
      </x:c>
      <x:c r="C6" s="234" t="str">
        <x:v>West</x:v>
      </x:c>
      <x:c r="D6" s="187" t="str">
        <x:v>Mumbai</x:v>
      </x:c>
      <x:c r="E6" s="187" t="str">
        <x:v>Chinese</x:v>
      </x:c>
      <x:c r="F6" s="187" t="str">
        <x:v>Budget</x:v>
      </x:c>
      <x:c r="G6" s="187" t="str">
        <x:v>Budget Customer 52</x:v>
      </x:c>
      <x:c r="H6" s="189" t="n">
        <x:v>122</x:v>
      </x:c>
      <x:c r="I6" s="190" t="n">
        <x:v>440</x:v>
      </x:c>
      <x:c r="J6" s="191" t="n">
        <x:v>0.11</x:v>
      </x:c>
      <x:c r="K6" s="190" t="n">
        <x:f>H6*I6</x:f>
        <x:v>53680</x:v>
      </x:c>
      <x:c r="L6" s="190" t="n">
        <x:f>K6*(1-J6)</x:f>
        <x:v>47775.2</x:v>
      </x:c>
      <x:c r="M6" s="190" t="n">
        <x:f>L6*(0.74-IF(E6="Healthy",0.04,IF(E6="Beverages",0.06,IF(E6="Desserts",0.05,IF(E6="North Indian",0.01,0)))))</x:f>
        <x:v>35353.648</x:v>
      </x:c>
      <x:c r="N6" s="190" t="n">
        <x:f>L6-M6</x:f>
        <x:v>12421.551999999996</x:v>
      </x:c>
      <x:c r="O6" s="190" t="n">
        <x:f>L6*0.13</x:f>
        <x:v>6210.776</x:v>
      </x:c>
      <x:c r="P6" s="190" t="n">
        <x:f>N6-O6</x:f>
        <x:v>6210.775999999996</x:v>
      </x:c>
      <x:c r="Q6" s="190" t="n">
        <x:v>47812.45754520455</x:v>
      </x:c>
    </x:row>
    <x:row r="7" ht="15">
      <x:c r="A7" s="187" t="str">
        <x:v>ZOM-0003</x:v>
      </x:c>
      <x:c r="B7" s="188" t="n">
        <x:v>45660</x:v>
      </x:c>
      <x:c r="C7" s="234" t="str">
        <x:v>North</x:v>
      </x:c>
      <x:c r="D7" s="187" t="str">
        <x:v>Jaipur</x:v>
      </x:c>
      <x:c r="E7" s="187" t="str">
        <x:v>Pizza</x:v>
      </x:c>
      <x:c r="F7" s="187" t="str">
        <x:v>New User</x:v>
      </x:c>
      <x:c r="G7" s="187" t="str">
        <x:v>New User Customer 52</x:v>
      </x:c>
      <x:c r="H7" s="189" t="n">
        <x:v>105</x:v>
      </x:c>
      <x:c r="I7" s="190" t="n">
        <x:v>536</x:v>
      </x:c>
      <x:c r="J7" s="191" t="n">
        <x:v>0.09</x:v>
      </x:c>
      <x:c r="K7" s="190" t="n">
        <x:f>H7*I7</x:f>
        <x:v>56280</x:v>
      </x:c>
      <x:c r="L7" s="190" t="n">
        <x:f>K7*(1-J7)</x:f>
        <x:v>51214.8</x:v>
      </x:c>
      <x:c r="M7" s="190" t="n">
        <x:f>L7*(0.74-IF(E7="Healthy",0.04,IF(E7="Beverages",0.06,IF(E7="Desserts",0.05,IF(E7="North Indian",0.01,0)))))</x:f>
        <x:v>37898.952000000005</x:v>
      </x:c>
      <x:c r="N7" s="190" t="n">
        <x:f>L7-M7</x:f>
        <x:v>13315.847999999998</x:v>
      </x:c>
      <x:c r="O7" s="190" t="n">
        <x:f>L7*0.13</x:f>
        <x:v>6657.924000000001</x:v>
      </x:c>
      <x:c r="P7" s="190" t="n">
        <x:f>N7-O7</x:f>
        <x:v>6657.923999999997</x:v>
      </x:c>
      <x:c r="Q7" s="190" t="n">
        <x:v>54925.16495414989</x:v>
      </x:c>
    </x:row>
    <x:row r="8" ht="15">
      <x:c r="A8" s="187" t="str">
        <x:v>ZOM-0004</x:v>
      </x:c>
      <x:c r="B8" s="188" t="n">
        <x:v>45661</x:v>
      </x:c>
      <x:c r="C8" s="234" t="str">
        <x:v>North</x:v>
      </x:c>
      <x:c r="D8" s="187" t="str">
        <x:v>Jaipur</x:v>
      </x:c>
      <x:c r="E8" s="187" t="str">
        <x:v>Chinese</x:v>
      </x:c>
      <x:c r="F8" s="187" t="str">
        <x:v>Student</x:v>
      </x:c>
      <x:c r="G8" s="187" t="str">
        <x:v>Student Customer 37</x:v>
      </x:c>
      <x:c r="H8" s="189" t="n">
        <x:v>90</x:v>
      </x:c>
      <x:c r="I8" s="190" t="n">
        <x:v>376</x:v>
      </x:c>
      <x:c r="J8" s="191" t="n">
        <x:v>0.12</x:v>
      </x:c>
      <x:c r="K8" s="190" t="n">
        <x:f>H8*I8</x:f>
        <x:v>33840</x:v>
      </x:c>
      <x:c r="L8" s="190" t="n">
        <x:f>K8*(1-J8)</x:f>
        <x:v>29779.2</x:v>
      </x:c>
      <x:c r="M8" s="190" t="n">
        <x:f>L8*(0.74-IF(E8="Healthy",0.04,IF(E8="Beverages",0.06,IF(E8="Desserts",0.05,IF(E8="North Indian",0.01,0)))))</x:f>
        <x:v>22036.608</x:v>
      </x:c>
      <x:c r="N8" s="190" t="n">
        <x:f>L8-M8</x:f>
        <x:v>7742.592000000001</x:v>
      </x:c>
      <x:c r="O8" s="190" t="n">
        <x:f>L8*0.13</x:f>
        <x:v>3871.2960000000003</x:v>
      </x:c>
      <x:c r="P8" s="190" t="n">
        <x:f>N8-O8</x:f>
        <x:v>3871.2960000000003</x:v>
      </x:c>
      <x:c r="Q8" s="190" t="n">
        <x:v>32858.51305508817</x:v>
      </x:c>
    </x:row>
    <x:row r="9" ht="15">
      <x:c r="A9" s="187" t="str">
        <x:v>ZOM-0005</x:v>
      </x:c>
      <x:c r="B9" s="188" t="n">
        <x:v>45662</x:v>
      </x:c>
      <x:c r="C9" s="234" t="str">
        <x:v>South</x:v>
      </x:c>
      <x:c r="D9" s="187" t="str">
        <x:v>Bengaluru</x:v>
      </x:c>
      <x:c r="E9" s="187" t="str">
        <x:v>North Indian</x:v>
      </x:c>
      <x:c r="F9" s="187" t="str">
        <x:v>Repeat User</x:v>
      </x:c>
      <x:c r="G9" s="187" t="str">
        <x:v>Repeat User Customer 54</x:v>
      </x:c>
      <x:c r="H9" s="189" t="n">
        <x:v>111</x:v>
      </x:c>
      <x:c r="I9" s="190" t="n">
        <x:v>647</x:v>
      </x:c>
      <x:c r="J9" s="191" t="n">
        <x:v>0.05</x:v>
      </x:c>
      <x:c r="K9" s="190" t="n">
        <x:f>H9*I9</x:f>
        <x:v>71817</x:v>
      </x:c>
      <x:c r="L9" s="190" t="n">
        <x:f>K9*(1-J9)</x:f>
        <x:v>68226.15</x:v>
      </x:c>
      <x:c r="M9" s="190" t="n">
        <x:f>L9*(0.74-IF(E9="Healthy",0.04,IF(E9="Beverages",0.06,IF(E9="Desserts",0.05,IF(E9="North Indian",0.01,0)))))</x:f>
        <x:v>49805.089499999995</x:v>
      </x:c>
      <x:c r="N9" s="190" t="n">
        <x:f>L9-M9</x:f>
        <x:v>18421.0605</x:v>
      </x:c>
      <x:c r="O9" s="190" t="n">
        <x:f>L9*0.13</x:f>
        <x:v>8869.3995</x:v>
      </x:c>
      <x:c r="P9" s="190" t="n">
        <x:f>N9-O9</x:f>
        <x:v>9551.661</x:v>
      </x:c>
      <x:c r="Q9" s="190" t="n">
        <x:v>71938.28271611211</x:v>
      </x:c>
    </x:row>
    <x:row r="10" ht="15">
      <x:c r="A10" s="187" t="str">
        <x:v>ZOM-0006</x:v>
      </x:c>
      <x:c r="B10" s="188" t="n">
        <x:v>45663</x:v>
      </x:c>
      <x:c r="C10" s="234" t="str">
        <x:v>South</x:v>
      </x:c>
      <x:c r="D10" s="187" t="str">
        <x:v>Chennai</x:v>
      </x:c>
      <x:c r="E10" s="187" t="str">
        <x:v>Pizza</x:v>
      </x:c>
      <x:c r="F10" s="187" t="str">
        <x:v>Budget</x:v>
      </x:c>
      <x:c r="G10" s="187" t="str">
        <x:v>Budget Customer 18</x:v>
      </x:c>
      <x:c r="H10" s="189" t="n">
        <x:v>67</x:v>
      </x:c>
      <x:c r="I10" s="190" t="n">
        <x:v>671</x:v>
      </x:c>
      <x:c r="J10" s="191" t="n">
        <x:v>0.1</x:v>
      </x:c>
      <x:c r="K10" s="190" t="n">
        <x:f>H10*I10</x:f>
        <x:v>44957</x:v>
      </x:c>
      <x:c r="L10" s="190" t="n">
        <x:f>K10*(1-J10)</x:f>
        <x:v>40461.3</x:v>
      </x:c>
      <x:c r="M10" s="190" t="n">
        <x:f>L10*(0.74-IF(E10="Healthy",0.04,IF(E10="Beverages",0.06,IF(E10="Desserts",0.05,IF(E10="North Indian",0.01,0)))))</x:f>
        <x:v>29941.362</x:v>
      </x:c>
      <x:c r="N10" s="190" t="n">
        <x:f>L10-M10</x:f>
        <x:v>10519.938000000002</x:v>
      </x:c>
      <x:c r="O10" s="190" t="n">
        <x:f>L10*0.13</x:f>
        <x:v>5259.969000000001</x:v>
      </x:c>
      <x:c r="P10" s="190" t="n">
        <x:f>N10-O10</x:f>
        <x:v>5259.969000000001</x:v>
      </x:c>
      <x:c r="Q10" s="190" t="n">
        <x:v>42705.73789317259</x:v>
      </x:c>
    </x:row>
    <x:row r="11" ht="15">
      <x:c r="A11" s="187" t="str">
        <x:v>ZOM-0007</x:v>
      </x:c>
      <x:c r="B11" s="188" t="n">
        <x:v>45664</x:v>
      </x:c>
      <x:c r="C11" s="234" t="str">
        <x:v>Metro</x:v>
      </x:c>
      <x:c r="D11" s="187" t="str">
        <x:v>Pune</x:v>
      </x:c>
      <x:c r="E11" s="187" t="str">
        <x:v>Biryani</x:v>
      </x:c>
      <x:c r="F11" s="187" t="str">
        <x:v>Repeat User</x:v>
      </x:c>
      <x:c r="G11" s="187" t="str">
        <x:v>Repeat User Customer 59</x:v>
      </x:c>
      <x:c r="H11" s="189" t="n">
        <x:v>86</x:v>
      </x:c>
      <x:c r="I11" s="190" t="n">
        <x:v>423</x:v>
      </x:c>
      <x:c r="J11" s="191" t="n">
        <x:v>0.030000000000000002</x:v>
      </x:c>
      <x:c r="K11" s="190" t="n">
        <x:f>H11*I11</x:f>
        <x:v>36378</x:v>
      </x:c>
      <x:c r="L11" s="190" t="n">
        <x:f>K11*(1-J11)</x:f>
        <x:v>35286.659999999996</x:v>
      </x:c>
      <x:c r="M11" s="190" t="n">
        <x:f>L11*(0.74-IF(E11="Healthy",0.04,IF(E11="Beverages",0.06,IF(E11="Desserts",0.05,IF(E11="North Indian",0.01,0)))))</x:f>
        <x:v>26112.128399999998</x:v>
      </x:c>
      <x:c r="N11" s="190" t="n">
        <x:f>L11-M11</x:f>
        <x:v>9174.531599999998</x:v>
      </x:c>
      <x:c r="O11" s="190" t="n">
        <x:f>L11*0.13</x:f>
        <x:v>4587.265799999999</x:v>
      </x:c>
      <x:c r="P11" s="190" t="n">
        <x:f>N11-O11</x:f>
        <x:v>4587.265799999999</x:v>
      </x:c>
      <x:c r="Q11" s="190" t="n">
        <x:v>35566.92897695689</x:v>
      </x:c>
    </x:row>
    <x:row r="12" ht="15">
      <x:c r="A12" s="187" t="str">
        <x:v>ZOM-0008</x:v>
      </x:c>
      <x:c r="B12" s="188" t="n">
        <x:v>45665</x:v>
      </x:c>
      <x:c r="C12" s="234" t="str">
        <x:v>Metro</x:v>
      </x:c>
      <x:c r="D12" s="187" t="str">
        <x:v>Bengaluru</x:v>
      </x:c>
      <x:c r="E12" s="187" t="str">
        <x:v>Biryani</x:v>
      </x:c>
      <x:c r="F12" s="187" t="str">
        <x:v>Gold User</x:v>
      </x:c>
      <x:c r="G12" s="187" t="str">
        <x:v>Gold User Customer 38</x:v>
      </x:c>
      <x:c r="H12" s="189" t="n">
        <x:v>159</x:v>
      </x:c>
      <x:c r="I12" s="190" t="n">
        <x:v>405</x:v>
      </x:c>
      <x:c r="J12" s="191" t="n">
        <x:v>0.03</x:v>
      </x:c>
      <x:c r="K12" s="190" t="n">
        <x:f>H12*I12</x:f>
        <x:v>64395</x:v>
      </x:c>
      <x:c r="L12" s="190" t="n">
        <x:f>K12*(1-J12)</x:f>
        <x:v>62463.15</x:v>
      </x:c>
      <x:c r="M12" s="190" t="n">
        <x:f>L12*(0.74-IF(E12="Healthy",0.04,IF(E12="Beverages",0.06,IF(E12="Desserts",0.05,IF(E12="North Indian",0.01,0)))))</x:f>
        <x:v>46222.731</x:v>
      </x:c>
      <x:c r="N12" s="190" t="n">
        <x:f>L12-M12</x:f>
        <x:v>16240.419000000002</x:v>
      </x:c>
      <x:c r="O12" s="190" t="n">
        <x:f>L12*0.13</x:f>
        <x:v>8120.209500000001</x:v>
      </x:c>
      <x:c r="P12" s="190" t="n">
        <x:f>N12-O12</x:f>
        <x:v>8120.209500000001</x:v>
      </x:c>
      <x:c r="Q12" s="190" t="n">
        <x:v>64432.55022052913</x:v>
      </x:c>
    </x:row>
    <x:row r="13" ht="15">
      <x:c r="A13" s="187" t="str">
        <x:v>ZOM-0009</x:v>
      </x:c>
      <x:c r="B13" s="188" t="n">
        <x:v>45666</x:v>
      </x:c>
      <x:c r="C13" s="234" t="str">
        <x:v>West</x:v>
      </x:c>
      <x:c r="D13" s="187" t="str">
        <x:v>Nagpur</x:v>
      </x:c>
      <x:c r="E13" s="187" t="str">
        <x:v>South Indian</x:v>
      </x:c>
      <x:c r="F13" s="187" t="str">
        <x:v>Repeat User</x:v>
      </x:c>
      <x:c r="G13" s="187" t="str">
        <x:v>Repeat User Customer 11</x:v>
      </x:c>
      <x:c r="H13" s="189" t="n">
        <x:v>94</x:v>
      </x:c>
      <x:c r="I13" s="190" t="n">
        <x:v>374</x:v>
      </x:c>
      <x:c r="J13" s="191" t="n">
        <x:v>0.030000000000000002</x:v>
      </x:c>
      <x:c r="K13" s="190" t="n">
        <x:f>H13*I13</x:f>
        <x:v>35156</x:v>
      </x:c>
      <x:c r="L13" s="190" t="n">
        <x:f>K13*(1-J13)</x:f>
        <x:v>34101.32</x:v>
      </x:c>
      <x:c r="M13" s="190" t="n">
        <x:f>L13*(0.74-IF(E13="Healthy",0.04,IF(E13="Beverages",0.06,IF(E13="Desserts",0.05,IF(E13="North Indian",0.01,0)))))</x:f>
        <x:v>25234.9768</x:v>
      </x:c>
      <x:c r="N13" s="190" t="n">
        <x:f>L13-M13</x:f>
        <x:v>8866.3432</x:v>
      </x:c>
      <x:c r="O13" s="190" t="n">
        <x:f>L13*0.13</x:f>
        <x:v>4433.1716</x:v>
      </x:c>
      <x:c r="P13" s="190" t="n">
        <x:f>N13-O13</x:f>
        <x:v>4433.1716</x:v>
      </x:c>
      <x:c r="Q13" s="190" t="n">
        <x:v>34726.770888838066</x:v>
      </x:c>
    </x:row>
    <x:row r="14" ht="15">
      <x:c r="A14" s="187" t="str">
        <x:v>ZOM-0010</x:v>
      </x:c>
      <x:c r="B14" s="188" t="n">
        <x:v>45667</x:v>
      </x:c>
      <x:c r="C14" s="234" t="str">
        <x:v>Central</x:v>
      </x:c>
      <x:c r="D14" s="187" t="str">
        <x:v>Kanpur</x:v>
      </x:c>
      <x:c r="E14" s="187" t="str">
        <x:v>Chinese</x:v>
      </x:c>
      <x:c r="F14" s="187" t="str">
        <x:v>Repeat User</x:v>
      </x:c>
      <x:c r="G14" s="187" t="str">
        <x:v>Repeat User Customer 47</x:v>
      </x:c>
      <x:c r="H14" s="189" t="n">
        <x:v>124</x:v>
      </x:c>
      <x:c r="I14" s="190" t="n">
        <x:v>549</x:v>
      </x:c>
      <x:c r="J14" s="191" t="n">
        <x:v>0.05</x:v>
      </x:c>
      <x:c r="K14" s="190" t="n">
        <x:f>H14*I14</x:f>
        <x:v>68076</x:v>
      </x:c>
      <x:c r="L14" s="190" t="n">
        <x:f>K14*(1-J14)</x:f>
        <x:v>64672.2</x:v>
      </x:c>
      <x:c r="M14" s="190" t="n">
        <x:f>L14*(0.74-IF(E14="Healthy",0.04,IF(E14="Beverages",0.06,IF(E14="Desserts",0.05,IF(E14="North Indian",0.01,0)))))</x:f>
        <x:v>47857.428</x:v>
      </x:c>
      <x:c r="N14" s="190" t="n">
        <x:f>L14-M14</x:f>
        <x:v>16814.771999999997</x:v>
      </x:c>
      <x:c r="O14" s="190" t="n">
        <x:f>L14*0.13</x:f>
        <x:v>8407.386</x:v>
      </x:c>
      <x:c r="P14" s="190" t="n">
        <x:f>N14-O14</x:f>
        <x:v>8407.385999999997</x:v>
      </x:c>
      <x:c r="Q14" s="190" t="n">
        <x:v>64761.30035367485</x:v>
      </x:c>
    </x:row>
    <x:row r="15" ht="15">
      <x:c r="A15" s="187" t="str">
        <x:v>ZOM-0011</x:v>
      </x:c>
      <x:c r="B15" s="188" t="n">
        <x:v>45668</x:v>
      </x:c>
      <x:c r="C15" s="234" t="str">
        <x:v>North</x:v>
      </x:c>
      <x:c r="D15" s="187" t="str">
        <x:v>Lucknow</x:v>
      </x:c>
      <x:c r="E15" s="187" t="str">
        <x:v>Desserts</x:v>
      </x:c>
      <x:c r="F15" s="187" t="str">
        <x:v>Budget</x:v>
      </x:c>
      <x:c r="G15" s="187" t="str">
        <x:v>Budget Customer 47</x:v>
      </x:c>
      <x:c r="H15" s="189" t="n">
        <x:v>90</x:v>
      </x:c>
      <x:c r="I15" s="190" t="n">
        <x:v>243</x:v>
      </x:c>
      <x:c r="J15" s="191" t="n">
        <x:v>0.11</x:v>
      </x:c>
      <x:c r="K15" s="190" t="n">
        <x:f>H15*I15</x:f>
        <x:v>21870</x:v>
      </x:c>
      <x:c r="L15" s="190" t="n">
        <x:f>K15*(1-J15)</x:f>
        <x:v>19464.3</x:v>
      </x:c>
      <x:c r="M15" s="190" t="n">
        <x:f>L15*(0.74-IF(E15="Healthy",0.04,IF(E15="Beverages",0.06,IF(E15="Desserts",0.05,IF(E15="North Indian",0.01,0)))))</x:f>
        <x:v>13430.366999999998</x:v>
      </x:c>
      <x:c r="N15" s="190" t="n">
        <x:f>L15-M15</x:f>
        <x:v>6033.933000000001</x:v>
      </x:c>
      <x:c r="O15" s="190" t="n">
        <x:f>L15*0.13</x:f>
        <x:v>2530.359</x:v>
      </x:c>
      <x:c r="P15" s="190" t="n">
        <x:f>N15-O15</x:f>
        <x:v>3503.574000000001</x:v>
      </x:c>
      <x:c r="Q15" s="190" t="n">
        <x:v>21150.901981074538</x:v>
      </x:c>
    </x:row>
    <x:row r="16" ht="15">
      <x:c r="A16" s="187" t="str">
        <x:v>ZOM-0012</x:v>
      </x:c>
      <x:c r="B16" s="188" t="n">
        <x:v>45669</x:v>
      </x:c>
      <x:c r="C16" s="234" t="str">
        <x:v>South</x:v>
      </x:c>
      <x:c r="D16" s="187" t="str">
        <x:v>Coimbatore</x:v>
      </x:c>
      <x:c r="E16" s="187" t="str">
        <x:v>Desserts</x:v>
      </x:c>
      <x:c r="F16" s="187" t="str">
        <x:v>Gold User</x:v>
      </x:c>
      <x:c r="G16" s="187" t="str">
        <x:v>Gold User Customer 24</x:v>
      </x:c>
      <x:c r="H16" s="189" t="n">
        <x:v>96</x:v>
      </x:c>
      <x:c r="I16" s="190" t="n">
        <x:v>334</x:v>
      </x:c>
      <x:c r="J16" s="191" t="n">
        <x:v>0.03</x:v>
      </x:c>
      <x:c r="K16" s="190" t="n">
        <x:f>H16*I16</x:f>
        <x:v>32064</x:v>
      </x:c>
      <x:c r="L16" s="190" t="n">
        <x:f>K16*(1-J16)</x:f>
        <x:v>31102.079999999998</x:v>
      </x:c>
      <x:c r="M16" s="190" t="n">
        <x:f>L16*(0.74-IF(E16="Healthy",0.04,IF(E16="Beverages",0.06,IF(E16="Desserts",0.05,IF(E16="North Indian",0.01,0)))))</x:f>
        <x:v>21460.435199999996</x:v>
      </x:c>
      <x:c r="N16" s="190" t="n">
        <x:f>L16-M16</x:f>
        <x:v>9641.644800000002</x:v>
      </x:c>
      <x:c r="O16" s="190" t="n">
        <x:f>L16*0.13</x:f>
        <x:v>4043.2704</x:v>
      </x:c>
      <x:c r="P16" s="190" t="n">
        <x:f>N16-O16</x:f>
        <x:v>5598.374400000002</x:v>
      </x:c>
      <x:c r="Q16" s="190" t="n">
        <x:v>31844.465879996984</x:v>
      </x:c>
    </x:row>
    <x:row r="17" ht="15">
      <x:c r="A17" s="187" t="str">
        <x:v>ZOM-0013</x:v>
      </x:c>
      <x:c r="B17" s="188" t="n">
        <x:v>45670</x:v>
      </x:c>
      <x:c r="C17" s="234" t="str">
        <x:v>Central</x:v>
      </x:c>
      <x:c r="D17" s="187" t="str">
        <x:v>Varanasi</x:v>
      </x:c>
      <x:c r="E17" s="187" t="str">
        <x:v>Snacks</x:v>
      </x:c>
      <x:c r="F17" s="187" t="str">
        <x:v>Student</x:v>
      </x:c>
      <x:c r="G17" s="187" t="str">
        <x:v>Student Customer 54</x:v>
      </x:c>
      <x:c r="H17" s="189" t="n">
        <x:v>46</x:v>
      </x:c>
      <x:c r="I17" s="190" t="n">
        <x:v>259</x:v>
      </x:c>
      <x:c r="J17" s="191" t="n">
        <x:v>0.13</x:v>
      </x:c>
      <x:c r="K17" s="190" t="n">
        <x:f>H17*I17</x:f>
        <x:v>11914</x:v>
      </x:c>
      <x:c r="L17" s="190" t="n">
        <x:f>K17*(1-J17)</x:f>
        <x:v>10365.18</x:v>
      </x:c>
      <x:c r="M17" s="190" t="n">
        <x:f>L17*(0.74-IF(E17="Healthy",0.04,IF(E17="Beverages",0.06,IF(E17="Desserts",0.05,IF(E17="North Indian",0.01,0)))))</x:f>
        <x:v>7670.2332</x:v>
      </x:c>
      <x:c r="N17" s="190" t="n">
        <x:f>L17-M17</x:f>
        <x:v>2694.9468000000006</x:v>
      </x:c>
      <x:c r="O17" s="190" t="n">
        <x:f>L17*0.13</x:f>
        <x:v>1347.4734</x:v>
      </x:c>
      <x:c r="P17" s="190" t="n">
        <x:f>N17-O17</x:f>
        <x:v>1347.4734000000005</x:v>
      </x:c>
      <x:c r="Q17" s="190" t="n">
        <x:v>11458.153252029038</x:v>
      </x:c>
    </x:row>
    <x:row r="18" ht="15">
      <x:c r="A18" s="187" t="str">
        <x:v>ZOM-0014</x:v>
      </x:c>
      <x:c r="B18" s="188" t="n">
        <x:v>45671</x:v>
      </x:c>
      <x:c r="C18" s="234" t="str">
        <x:v>Central</x:v>
      </x:c>
      <x:c r="D18" s="187" t="str">
        <x:v>Indore</x:v>
      </x:c>
      <x:c r="E18" s="187" t="str">
        <x:v>North Indian</x:v>
      </x:c>
      <x:c r="F18" s="187" t="str">
        <x:v>Student</x:v>
      </x:c>
      <x:c r="G18" s="187" t="str">
        <x:v>Student Customer 09</x:v>
      </x:c>
      <x:c r="H18" s="189" t="n">
        <x:v>52</x:v>
      </x:c>
      <x:c r="I18" s="190" t="n">
        <x:v>446</x:v>
      </x:c>
      <x:c r="J18" s="191" t="n">
        <x:v>0.13</x:v>
      </x:c>
      <x:c r="K18" s="190" t="n">
        <x:f>H18*I18</x:f>
        <x:v>23192</x:v>
      </x:c>
      <x:c r="L18" s="190" t="n">
        <x:f>K18*(1-J18)</x:f>
        <x:v>20177.04</x:v>
      </x:c>
      <x:c r="M18" s="190" t="n">
        <x:f>L18*(0.74-IF(E18="Healthy",0.04,IF(E18="Beverages",0.06,IF(E18="Desserts",0.05,IF(E18="North Indian",0.01,0)))))</x:f>
        <x:v>14729.2392</x:v>
      </x:c>
      <x:c r="N18" s="190" t="n">
        <x:f>L18-M18</x:f>
        <x:v>5447.800800000001</x:v>
      </x:c>
      <x:c r="O18" s="190" t="n">
        <x:f>L18*0.13</x:f>
        <x:v>2623.0152000000003</x:v>
      </x:c>
      <x:c r="P18" s="190" t="n">
        <x:f>N18-O18</x:f>
        <x:v>2824.7856000000006</x:v>
      </x:c>
      <x:c r="Q18" s="190" t="n">
        <x:v>21466.85204290126</x:v>
      </x:c>
    </x:row>
    <x:row r="19" ht="15">
      <x:c r="A19" s="187" t="str">
        <x:v>ZOM-0015</x:v>
      </x:c>
      <x:c r="B19" s="188" t="n">
        <x:v>45672</x:v>
      </x:c>
      <x:c r="C19" s="234" t="str">
        <x:v>North</x:v>
      </x:c>
      <x:c r="D19" s="187" t="str">
        <x:v>Jaipur</x:v>
      </x:c>
      <x:c r="E19" s="187" t="str">
        <x:v>Snacks</x:v>
      </x:c>
      <x:c r="F19" s="187" t="str">
        <x:v>New User</x:v>
      </x:c>
      <x:c r="G19" s="187" t="str">
        <x:v>New User Customer 45</x:v>
      </x:c>
      <x:c r="H19" s="189" t="n">
        <x:v>127</x:v>
      </x:c>
      <x:c r="I19" s="190" t="n">
        <x:v>287</x:v>
      </x:c>
      <x:c r="J19" s="191" t="n">
        <x:v>0.09</x:v>
      </x:c>
      <x:c r="K19" s="190" t="n">
        <x:f>H19*I19</x:f>
        <x:v>36449</x:v>
      </x:c>
      <x:c r="L19" s="190" t="n">
        <x:f>K19*(1-J19)</x:f>
        <x:v>33168.590000000004</x:v>
      </x:c>
      <x:c r="M19" s="190" t="n">
        <x:f>L19*(0.74-IF(E19="Healthy",0.04,IF(E19="Beverages",0.06,IF(E19="Desserts",0.05,IF(E19="North Indian",0.01,0)))))</x:f>
        <x:v>24544.756600000004</x:v>
      </x:c>
      <x:c r="N19" s="190" t="n">
        <x:f>L19-M19</x:f>
        <x:v>8623.8334</x:v>
      </x:c>
      <x:c r="O19" s="190" t="n">
        <x:f>L19*0.13</x:f>
        <x:v>4311.916700000001</x:v>
      </x:c>
      <x:c r="P19" s="190" t="n">
        <x:f>N19-O19</x:f>
        <x:v>4311.916699999999</x:v>
      </x:c>
      <x:c r="Q19" s="190" t="n">
        <x:v>36174.719797817896</x:v>
      </x:c>
    </x:row>
    <x:row r="20" ht="15">
      <x:c r="A20" s="187" t="str">
        <x:v>ZOM-0016</x:v>
      </x:c>
      <x:c r="B20" s="188" t="n">
        <x:v>45673</x:v>
      </x:c>
      <x:c r="C20" s="234" t="str">
        <x:v>South</x:v>
      </x:c>
      <x:c r="D20" s="187" t="str">
        <x:v>Chennai</x:v>
      </x:c>
      <x:c r="E20" s="187" t="str">
        <x:v>South Indian</x:v>
      </x:c>
      <x:c r="F20" s="187" t="str">
        <x:v>Budget</x:v>
      </x:c>
      <x:c r="G20" s="187" t="str">
        <x:v>Budget Customer 38</x:v>
      </x:c>
      <x:c r="H20" s="189" t="n">
        <x:v>99</x:v>
      </x:c>
      <x:c r="I20" s="190" t="n">
        <x:v>363</x:v>
      </x:c>
      <x:c r="J20" s="191" t="n">
        <x:v>0.11</x:v>
      </x:c>
      <x:c r="K20" s="190" t="n">
        <x:f>H20*I20</x:f>
        <x:v>35937</x:v>
      </x:c>
      <x:c r="L20" s="190" t="n">
        <x:f>K20*(1-J20)</x:f>
        <x:v>31983.93</x:v>
      </x:c>
      <x:c r="M20" s="190" t="n">
        <x:f>L20*(0.74-IF(E20="Healthy",0.04,IF(E20="Beverages",0.06,IF(E20="Desserts",0.05,IF(E20="North Indian",0.01,0)))))</x:f>
        <x:v>23668.1082</x:v>
      </x:c>
      <x:c r="N20" s="190" t="n">
        <x:f>L20-M20</x:f>
        <x:v>8315.821800000002</x:v>
      </x:c>
      <x:c r="O20" s="190" t="n">
        <x:f>L20*0.13</x:f>
        <x:v>4157.9109</x:v>
      </x:c>
      <x:c r="P20" s="190" t="n">
        <x:f>N20-O20</x:f>
        <x:v>4157.910900000002</x:v>
      </x:c>
      <x:c r="Q20" s="190" t="n">
        <x:v>33281.52659444819</x:v>
      </x:c>
    </x:row>
    <x:row r="21" ht="15">
      <x:c r="A21" s="187" t="str">
        <x:v>ZOM-0017</x:v>
      </x:c>
      <x:c r="B21" s="188" t="n">
        <x:v>45674</x:v>
      </x:c>
      <x:c r="C21" s="234" t="str">
        <x:v>West</x:v>
      </x:c>
      <x:c r="D21" s="187" t="str">
        <x:v>Nagpur</x:v>
      </x:c>
      <x:c r="E21" s="187" t="str">
        <x:v>Biryani</x:v>
      </x:c>
      <x:c r="F21" s="187" t="str">
        <x:v>New User</x:v>
      </x:c>
      <x:c r="G21" s="187" t="str">
        <x:v>New User Customer 16</x:v>
      </x:c>
      <x:c r="H21" s="189" t="n">
        <x:v>153</x:v>
      </x:c>
      <x:c r="I21" s="190" t="n">
        <x:v>389</x:v>
      </x:c>
      <x:c r="J21" s="191" t="n">
        <x:v>0.06</x:v>
      </x:c>
      <x:c r="K21" s="190" t="n">
        <x:f>H21*I21</x:f>
        <x:v>59517</x:v>
      </x:c>
      <x:c r="L21" s="190" t="n">
        <x:f>K21*(1-J21)</x:f>
        <x:v>55945.979999999996</x:v>
      </x:c>
      <x:c r="M21" s="190" t="n">
        <x:f>L21*(0.74-IF(E21="Healthy",0.04,IF(E21="Beverages",0.06,IF(E21="Desserts",0.05,IF(E21="North Indian",0.01,0)))))</x:f>
        <x:v>41400.0252</x:v>
      </x:c>
      <x:c r="N21" s="190" t="n">
        <x:f>L21-M21</x:f>
        <x:v>14545.9548</x:v>
      </x:c>
      <x:c r="O21" s="190" t="n">
        <x:f>L21*0.13</x:f>
        <x:v>7272.9774</x:v>
      </x:c>
      <x:c r="P21" s="190" t="n">
        <x:f>N21-O21</x:f>
        <x:v>7272.9774</x:v>
      </x:c>
      <x:c r="Q21" s="190" t="n">
        <x:v>56421.68206556683</x:v>
      </x:c>
    </x:row>
    <x:row r="22" ht="15">
      <x:c r="A22" s="187" t="str">
        <x:v>ZOM-0018</x:v>
      </x:c>
      <x:c r="B22" s="188" t="n">
        <x:v>45675</x:v>
      </x:c>
      <x:c r="C22" s="234" t="str">
        <x:v>South</x:v>
      </x:c>
      <x:c r="D22" s="187" t="str">
        <x:v>Kochi</x:v>
      </x:c>
      <x:c r="E22" s="187" t="str">
        <x:v>Biryani</x:v>
      </x:c>
      <x:c r="F22" s="187" t="str">
        <x:v>New User</x:v>
      </x:c>
      <x:c r="G22" s="187" t="str">
        <x:v>New User Customer 07</x:v>
      </x:c>
      <x:c r="H22" s="189" t="n">
        <x:v>140</x:v>
      </x:c>
      <x:c r="I22" s="190" t="n">
        <x:v>491</x:v>
      </x:c>
      <x:c r="J22" s="191" t="n">
        <x:v>0.08</x:v>
      </x:c>
      <x:c r="K22" s="190" t="n">
        <x:f>H22*I22</x:f>
        <x:v>68740</x:v>
      </x:c>
      <x:c r="L22" s="190" t="n">
        <x:f>K22*(1-J22)</x:f>
        <x:v>63240.8</x:v>
      </x:c>
      <x:c r="M22" s="190" t="n">
        <x:f>L22*(0.74-IF(E22="Healthy",0.04,IF(E22="Beverages",0.06,IF(E22="Desserts",0.05,IF(E22="North Indian",0.01,0)))))</x:f>
        <x:v>46798.192</x:v>
      </x:c>
      <x:c r="N22" s="190" t="n">
        <x:f>L22-M22</x:f>
        <x:v>16442.608</x:v>
      </x:c>
      <x:c r="O22" s="190" t="n">
        <x:f>L22*0.13</x:f>
        <x:v>8221.304</x:v>
      </x:c>
      <x:c r="P22" s="190" t="n">
        <x:f>N22-O22</x:f>
        <x:v>8221.304</x:v>
      </x:c>
      <x:c r="Q22" s="190" t="n">
        <x:v>64685.8010374612</x:v>
      </x:c>
    </x:row>
    <x:row r="23" ht="15">
      <x:c r="A23" s="187" t="str">
        <x:v>ZOM-0019</x:v>
      </x:c>
      <x:c r="B23" s="188" t="n">
        <x:v>45676</x:v>
      </x:c>
      <x:c r="C23" s="234" t="str">
        <x:v>East</x:v>
      </x:c>
      <x:c r="D23" s="187" t="str">
        <x:v>Patna</x:v>
      </x:c>
      <x:c r="E23" s="187" t="str">
        <x:v>South Indian</x:v>
      </x:c>
      <x:c r="F23" s="187" t="str">
        <x:v>Gold User</x:v>
      </x:c>
      <x:c r="G23" s="187" t="str">
        <x:v>Gold User Customer 07</x:v>
      </x:c>
      <x:c r="H23" s="189" t="n">
        <x:v>75</x:v>
      </x:c>
      <x:c r="I23" s="190" t="n">
        <x:v>399</x:v>
      </x:c>
      <x:c r="J23" s="191" t="n">
        <x:v>0.009999999999999998</x:v>
      </x:c>
      <x:c r="K23" s="190" t="n">
        <x:f>H23*I23</x:f>
        <x:v>29925</x:v>
      </x:c>
      <x:c r="L23" s="190" t="n">
        <x:f>K23*(1-J23)</x:f>
        <x:v>29625.75</x:v>
      </x:c>
      <x:c r="M23" s="190" t="n">
        <x:f>L23*(0.74-IF(E23="Healthy",0.04,IF(E23="Beverages",0.06,IF(E23="Desserts",0.05,IF(E23="North Indian",0.01,0)))))</x:f>
        <x:v>21923.055</x:v>
      </x:c>
      <x:c r="N23" s="190" t="n">
        <x:f>L23-M23</x:f>
        <x:v>7702.695</x:v>
      </x:c>
      <x:c r="O23" s="190" t="n">
        <x:f>L23*0.13</x:f>
        <x:v>3851.3475000000003</x:v>
      </x:c>
      <x:c r="P23" s="190" t="n">
        <x:f>N23-O23</x:f>
        <x:v>3851.3474999999994</x:v>
      </x:c>
      <x:c r="Q23" s="190" t="n">
        <x:v>32471.92842943932</x:v>
      </x:c>
    </x:row>
    <x:row r="24" ht="15">
      <x:c r="A24" s="187" t="str">
        <x:v>ZOM-0020</x:v>
      </x:c>
      <x:c r="B24" s="188" t="n">
        <x:v>45677</x:v>
      </x:c>
      <x:c r="C24" s="234" t="str">
        <x:v>South</x:v>
      </x:c>
      <x:c r="D24" s="187" t="str">
        <x:v>Hyderabad</x:v>
      </x:c>
      <x:c r="E24" s="187" t="str">
        <x:v>Chinese</x:v>
      </x:c>
      <x:c r="F24" s="187" t="str">
        <x:v>New User</x:v>
      </x:c>
      <x:c r="G24" s="187" t="str">
        <x:v>New User Customer 55</x:v>
      </x:c>
      <x:c r="H24" s="189" t="n">
        <x:v>91</x:v>
      </x:c>
      <x:c r="I24" s="190" t="n">
        <x:v>414</x:v>
      </x:c>
      <x:c r="J24" s="191" t="n">
        <x:v>0.08</x:v>
      </x:c>
      <x:c r="K24" s="190" t="n">
        <x:f>H24*I24</x:f>
        <x:v>37674</x:v>
      </x:c>
      <x:c r="L24" s="190" t="n">
        <x:f>K24*(1-J24)</x:f>
        <x:v>34660.08</x:v>
      </x:c>
      <x:c r="M24" s="190" t="n">
        <x:f>L24*(0.74-IF(E24="Healthy",0.04,IF(E24="Beverages",0.06,IF(E24="Desserts",0.05,IF(E24="North Indian",0.01,0)))))</x:f>
        <x:v>25648.4592</x:v>
      </x:c>
      <x:c r="N24" s="190" t="n">
        <x:f>L24-M24</x:f>
        <x:v>9011.6208</x:v>
      </x:c>
      <x:c r="O24" s="190" t="n">
        <x:f>L24*0.13</x:f>
        <x:v>4505.8104</x:v>
      </x:c>
      <x:c r="P24" s="190" t="n">
        <x:f>N24-O24</x:f>
        <x:v>4505.8104</x:v>
      </x:c>
      <x:c r="Q24" s="190" t="n">
        <x:v>38020.81387730165</x:v>
      </x:c>
    </x:row>
    <x:row r="25" ht="15">
      <x:c r="A25" s="187" t="str">
        <x:v>ZOM-0021</x:v>
      </x:c>
      <x:c r="B25" s="188" t="n">
        <x:v>45678</x:v>
      </x:c>
      <x:c r="C25" s="234" t="str">
        <x:v>West</x:v>
      </x:c>
      <x:c r="D25" s="187" t="str">
        <x:v>Mumbai</x:v>
      </x:c>
      <x:c r="E25" s="187" t="str">
        <x:v>Burgers</x:v>
      </x:c>
      <x:c r="F25" s="187" t="str">
        <x:v>Gold User</x:v>
      </x:c>
      <x:c r="G25" s="187" t="str">
        <x:v>Gold User Customer 26</x:v>
      </x:c>
      <x:c r="H25" s="189" t="n">
        <x:v>85</x:v>
      </x:c>
      <x:c r="I25" s="190" t="n">
        <x:v>507</x:v>
      </x:c>
      <x:c r="J25" s="191" t="n">
        <x:v>0.03</x:v>
      </x:c>
      <x:c r="K25" s="190" t="n">
        <x:f>H25*I25</x:f>
        <x:v>43095</x:v>
      </x:c>
      <x:c r="L25" s="190" t="n">
        <x:f>K25*(1-J25)</x:f>
        <x:v>41802.15</x:v>
      </x:c>
      <x:c r="M25" s="190" t="n">
        <x:f>L25*(0.74-IF(E25="Healthy",0.04,IF(E25="Beverages",0.06,IF(E25="Desserts",0.05,IF(E25="North Indian",0.01,0)))))</x:f>
        <x:v>30933.591</x:v>
      </x:c>
      <x:c r="N25" s="190" t="n">
        <x:f>L25-M25</x:f>
        <x:v>10868.559000000001</x:v>
      </x:c>
      <x:c r="O25" s="190" t="n">
        <x:f>L25*0.13</x:f>
        <x:v>5434.279500000001</x:v>
      </x:c>
      <x:c r="P25" s="190" t="n">
        <x:f>N25-O25</x:f>
        <x:v>5434.279500000001</x:v>
      </x:c>
      <x:c r="Q25" s="190" t="n">
        <x:v>42874.361599586286</x:v>
      </x:c>
    </x:row>
    <x:row r="26" ht="15">
      <x:c r="A26" s="187" t="str">
        <x:v>ZOM-0022</x:v>
      </x:c>
      <x:c r="B26" s="188" t="n">
        <x:v>45679</x:v>
      </x:c>
      <x:c r="C26" s="234" t="str">
        <x:v>Metro</x:v>
      </x:c>
      <x:c r="D26" s="187" t="str">
        <x:v>Mumbai</x:v>
      </x:c>
      <x:c r="E26" s="187" t="str">
        <x:v>Pizza</x:v>
      </x:c>
      <x:c r="F26" s="187" t="str">
        <x:v>Student</x:v>
      </x:c>
      <x:c r="G26" s="187" t="str">
        <x:v>Student Customer 51</x:v>
      </x:c>
      <x:c r="H26" s="189" t="n">
        <x:v>89</x:v>
      </x:c>
      <x:c r="I26" s="190" t="n">
        <x:v>755</x:v>
      </x:c>
      <x:c r="J26" s="191" t="n">
        <x:v>0.13</x:v>
      </x:c>
      <x:c r="K26" s="190" t="n">
        <x:f>H26*I26</x:f>
        <x:v>67195</x:v>
      </x:c>
      <x:c r="L26" s="190" t="n">
        <x:f>K26*(1-J26)</x:f>
        <x:v>58459.65</x:v>
      </x:c>
      <x:c r="M26" s="190" t="n">
        <x:f>L26*(0.74-IF(E26="Healthy",0.04,IF(E26="Beverages",0.06,IF(E26="Desserts",0.05,IF(E26="North Indian",0.01,0)))))</x:f>
        <x:v>43260.141</x:v>
      </x:c>
      <x:c r="N26" s="190" t="n">
        <x:f>L26-M26</x:f>
        <x:v>15199.508999999998</x:v>
      </x:c>
      <x:c r="O26" s="190" t="n">
        <x:f>L26*0.13</x:f>
        <x:v>7599.7545</x:v>
      </x:c>
      <x:c r="P26" s="190" t="n">
        <x:f>N26-O26</x:f>
        <x:v>7599.754499999998</x:v>
      </x:c>
      <x:c r="Q26" s="190" t="n">
        <x:v>63584.26022150965</x:v>
      </x:c>
    </x:row>
    <x:row r="27" ht="15">
      <x:c r="A27" s="187" t="str">
        <x:v>ZOM-0023</x:v>
      </x:c>
      <x:c r="B27" s="188" t="n">
        <x:v>45680</x:v>
      </x:c>
      <x:c r="C27" s="234" t="str">
        <x:v>West</x:v>
      </x:c>
      <x:c r="D27" s="187" t="str">
        <x:v>Surat</x:v>
      </x:c>
      <x:c r="E27" s="187" t="str">
        <x:v>Biryani</x:v>
      </x:c>
      <x:c r="F27" s="187" t="str">
        <x:v>Repeat User</x:v>
      </x:c>
      <x:c r="G27" s="187" t="str">
        <x:v>Repeat User Customer 33</x:v>
      </x:c>
      <x:c r="H27" s="189" t="n">
        <x:v>83</x:v>
      </x:c>
      <x:c r="I27" s="190" t="n">
        <x:v>492</x:v>
      </x:c>
      <x:c r="J27" s="191" t="n">
        <x:v>0.030000000000000002</x:v>
      </x:c>
      <x:c r="K27" s="190" t="n">
        <x:f>H27*I27</x:f>
        <x:v>40836</x:v>
      </x:c>
      <x:c r="L27" s="190" t="n">
        <x:f>K27*(1-J27)</x:f>
        <x:v>39610.92</x:v>
      </x:c>
      <x:c r="M27" s="190" t="n">
        <x:f>L27*(0.74-IF(E27="Healthy",0.04,IF(E27="Beverages",0.06,IF(E27="Desserts",0.05,IF(E27="North Indian",0.01,0)))))</x:f>
        <x:v>29312.0808</x:v>
      </x:c>
      <x:c r="N27" s="190" t="n">
        <x:f>L27-M27</x:f>
        <x:v>10298.839199999999</x:v>
      </x:c>
      <x:c r="O27" s="190" t="n">
        <x:f>L27*0.13</x:f>
        <x:v>5149.4196</x:v>
      </x:c>
      <x:c r="P27" s="190" t="n">
        <x:f>N27-O27</x:f>
        <x:v>5149.419599999998</x:v>
      </x:c>
      <x:c r="Q27" s="190" t="n">
        <x:v>42387.69743518881</x:v>
      </x:c>
    </x:row>
    <x:row r="28" ht="15">
      <x:c r="A28" s="187" t="str">
        <x:v>ZOM-0024</x:v>
      </x:c>
      <x:c r="B28" s="188" t="n">
        <x:v>45681</x:v>
      </x:c>
      <x:c r="C28" s="234" t="str">
        <x:v>Metro</x:v>
      </x:c>
      <x:c r="D28" s="187" t="str">
        <x:v>Pune</x:v>
      </x:c>
      <x:c r="E28" s="187" t="str">
        <x:v>Biryani</x:v>
      </x:c>
      <x:c r="F28" s="187" t="str">
        <x:v>Student</x:v>
      </x:c>
      <x:c r="G28" s="187" t="str">
        <x:v>Student Customer 08</x:v>
      </x:c>
      <x:c r="H28" s="189" t="n">
        <x:v>69</x:v>
      </x:c>
      <x:c r="I28" s="190" t="n">
        <x:v>546</x:v>
      </x:c>
      <x:c r="J28" s="191" t="n">
        <x:v>0.09999999999999999</x:v>
      </x:c>
      <x:c r="K28" s="190" t="n">
        <x:f>H28*I28</x:f>
        <x:v>37674</x:v>
      </x:c>
      <x:c r="L28" s="190" t="n">
        <x:f>K28*(1-J28)</x:f>
        <x:v>33906.6</x:v>
      </x:c>
      <x:c r="M28" s="190" t="n">
        <x:f>L28*(0.74-IF(E28="Healthy",0.04,IF(E28="Beverages",0.06,IF(E28="Desserts",0.05,IF(E28="North Indian",0.01,0)))))</x:f>
        <x:v>25090.884</x:v>
      </x:c>
      <x:c r="N28" s="190" t="n">
        <x:f>L28-M28</x:f>
        <x:v>8815.716</x:v>
      </x:c>
      <x:c r="O28" s="190" t="n">
        <x:f>L28*0.13</x:f>
        <x:v>4407.858</x:v>
      </x:c>
      <x:c r="P28" s="190" t="n">
        <x:f>N28-O28</x:f>
        <x:v>4407.858</x:v>
      </x:c>
      <x:c r="Q28" s="190" t="n">
        <x:v>34863.59572634863</x:v>
      </x:c>
    </x:row>
    <x:row r="29" ht="15">
      <x:c r="A29" s="187" t="str">
        <x:v>ZOM-0025</x:v>
      </x:c>
      <x:c r="B29" s="188" t="n">
        <x:v>45682</x:v>
      </x:c>
      <x:c r="C29" s="234" t="str">
        <x:v>Metro</x:v>
      </x:c>
      <x:c r="D29" s="187" t="str">
        <x:v>Pune</x:v>
      </x:c>
      <x:c r="E29" s="187" t="str">
        <x:v>Biryani</x:v>
      </x:c>
      <x:c r="F29" s="187" t="str">
        <x:v>Corporate</x:v>
      </x:c>
      <x:c r="G29" s="187" t="str">
        <x:v>Corporate Customer 16</x:v>
      </x:c>
      <x:c r="H29" s="189" t="n">
        <x:v>192</x:v>
      </x:c>
      <x:c r="I29" s="190" t="n">
        <x:v>393</x:v>
      </x:c>
      <x:c r="J29" s="191" t="n">
        <x:v>0.02</x:v>
      </x:c>
      <x:c r="K29" s="190" t="n">
        <x:f>H29*I29</x:f>
        <x:v>75456</x:v>
      </x:c>
      <x:c r="L29" s="190" t="n">
        <x:f>K29*(1-J29)</x:f>
        <x:v>73946.88</x:v>
      </x:c>
      <x:c r="M29" s="190" t="n">
        <x:f>L29*(0.74-IF(E29="Healthy",0.04,IF(E29="Beverages",0.06,IF(E29="Desserts",0.05,IF(E29="North Indian",0.01,0)))))</x:f>
        <x:v>54720.6912</x:v>
      </x:c>
      <x:c r="N29" s="190" t="n">
        <x:f>L29-M29</x:f>
        <x:v>19226.188800000004</x:v>
      </x:c>
      <x:c r="O29" s="190" t="n">
        <x:f>L29*0.13</x:f>
        <x:v>9613.094400000002</x:v>
      </x:c>
      <x:c r="P29" s="190" t="n">
        <x:f>N29-O29</x:f>
        <x:v>9613.094400000002</x:v>
      </x:c>
      <x:c r="Q29" s="190" t="n">
        <x:v>80302.09789799506</x:v>
      </x:c>
    </x:row>
    <x:row r="30" ht="15">
      <x:c r="A30" s="187" t="str">
        <x:v>ZOM-0026</x:v>
      </x:c>
      <x:c r="B30" s="188" t="n">
        <x:v>45683</x:v>
      </x:c>
      <x:c r="C30" s="234" t="str">
        <x:v>South</x:v>
      </x:c>
      <x:c r="D30" s="187" t="str">
        <x:v>Hyderabad</x:v>
      </x:c>
      <x:c r="E30" s="187" t="str">
        <x:v>Burgers</x:v>
      </x:c>
      <x:c r="F30" s="187" t="str">
        <x:v>Repeat User</x:v>
      </x:c>
      <x:c r="G30" s="187" t="str">
        <x:v>Repeat User Customer 07</x:v>
      </x:c>
      <x:c r="H30" s="189" t="n">
        <x:v>114</x:v>
      </x:c>
      <x:c r="I30" s="190" t="n">
        <x:v>500</x:v>
      </x:c>
      <x:c r="J30" s="191" t="n">
        <x:v>0.030000000000000002</x:v>
      </x:c>
      <x:c r="K30" s="190" t="n">
        <x:f>H30*I30</x:f>
        <x:v>57000</x:v>
      </x:c>
      <x:c r="L30" s="190" t="n">
        <x:f>K30*(1-J30)</x:f>
        <x:v>55290</x:v>
      </x:c>
      <x:c r="M30" s="190" t="n">
        <x:f>L30*(0.74-IF(E30="Healthy",0.04,IF(E30="Beverages",0.06,IF(E30="Desserts",0.05,IF(E30="North Indian",0.01,0)))))</x:f>
        <x:v>40914.6</x:v>
      </x:c>
      <x:c r="N30" s="190" t="n">
        <x:f>L30-M30</x:f>
        <x:v>14375.400000000001</x:v>
      </x:c>
      <x:c r="O30" s="190" t="n">
        <x:f>L30*0.13</x:f>
        <x:v>7187.7</x:v>
      </x:c>
      <x:c r="P30" s="190" t="n">
        <x:f>N30-O30</x:f>
        <x:v>7187.700000000002</x:v>
      </x:c>
      <x:c r="Q30" s="190" t="n">
        <x:v>59025.35024008528</x:v>
      </x:c>
    </x:row>
    <x:row r="31" ht="15">
      <x:c r="A31" s="187" t="str">
        <x:v>ZOM-0027</x:v>
      </x:c>
      <x:c r="B31" s="188" t="n">
        <x:v>45684</x:v>
      </x:c>
      <x:c r="C31" s="234" t="str">
        <x:v>North</x:v>
      </x:c>
      <x:c r="D31" s="187" t="str">
        <x:v>Noida</x:v>
      </x:c>
      <x:c r="E31" s="187" t="str">
        <x:v>Chinese</x:v>
      </x:c>
      <x:c r="F31" s="187" t="str">
        <x:v>New User</x:v>
      </x:c>
      <x:c r="G31" s="187" t="str">
        <x:v>New User Customer 46</x:v>
      </x:c>
      <x:c r="H31" s="189" t="n">
        <x:v>106</x:v>
      </x:c>
      <x:c r="I31" s="190" t="n">
        <x:v>527</x:v>
      </x:c>
      <x:c r="J31" s="191" t="n">
        <x:v>0.08</x:v>
      </x:c>
      <x:c r="K31" s="190" t="n">
        <x:f>H31*I31</x:f>
        <x:v>55862</x:v>
      </x:c>
      <x:c r="L31" s="190" t="n">
        <x:f>K31*(1-J31)</x:f>
        <x:v>51393.04</x:v>
      </x:c>
      <x:c r="M31" s="190" t="n">
        <x:f>L31*(0.74-IF(E31="Healthy",0.04,IF(E31="Beverages",0.06,IF(E31="Desserts",0.05,IF(E31="North Indian",0.01,0)))))</x:f>
        <x:v>38030.8496</x:v>
      </x:c>
      <x:c r="N31" s="190" t="n">
        <x:f>L31-M31</x:f>
        <x:v>13362.1904</x:v>
      </x:c>
      <x:c r="O31" s="190" t="n">
        <x:f>L31*0.13</x:f>
        <x:v>6681.095200000001</x:v>
      </x:c>
      <x:c r="P31" s="190" t="n">
        <x:f>N31-O31</x:f>
        <x:v>6681.095199999999</x:v>
      </x:c>
      <x:c r="Q31" s="190" t="n">
        <x:v>56534.88253643222</x:v>
      </x:c>
    </x:row>
    <x:row r="32" ht="15">
      <x:c r="A32" s="187" t="str">
        <x:v>ZOM-0028</x:v>
      </x:c>
      <x:c r="B32" s="188" t="n">
        <x:v>45685</x:v>
      </x:c>
      <x:c r="C32" s="234" t="str">
        <x:v>South</x:v>
      </x:c>
      <x:c r="D32" s="187" t="str">
        <x:v>Coimbatore</x:v>
      </x:c>
      <x:c r="E32" s="187" t="str">
        <x:v>North Indian</x:v>
      </x:c>
      <x:c r="F32" s="187" t="str">
        <x:v>Budget</x:v>
      </x:c>
      <x:c r="G32" s="187" t="str">
        <x:v>Budget Customer 07</x:v>
      </x:c>
      <x:c r="H32" s="189" t="n">
        <x:v>91</x:v>
      </x:c>
      <x:c r="I32" s="190" t="n">
        <x:v>635</x:v>
      </x:c>
      <x:c r="J32" s="191" t="n">
        <x:v>0.08</x:v>
      </x:c>
      <x:c r="K32" s="190" t="n">
        <x:f>H32*I32</x:f>
        <x:v>57785</x:v>
      </x:c>
      <x:c r="L32" s="190" t="n">
        <x:f>K32*(1-J32)</x:f>
        <x:v>53162.200000000004</x:v>
      </x:c>
      <x:c r="M32" s="190" t="n">
        <x:f>L32*(0.74-IF(E32="Healthy",0.04,IF(E32="Beverages",0.06,IF(E32="Desserts",0.05,IF(E32="North Indian",0.01,0)))))</x:f>
        <x:v>38808.406</x:v>
      </x:c>
      <x:c r="N32" s="190" t="n">
        <x:f>L32-M32</x:f>
        <x:v>14353.794000000002</x:v>
      </x:c>
      <x:c r="O32" s="190" t="n">
        <x:f>L32*0.13</x:f>
        <x:v>6911.086000000001</x:v>
      </x:c>
      <x:c r="P32" s="190" t="n">
        <x:f>N32-O32</x:f>
        <x:v>7442.7080000000005</x:v>
      </x:c>
      <x:c r="Q32" s="190" t="n">
        <x:v>53898.573047506536</x:v>
      </x:c>
    </x:row>
    <x:row r="33" ht="15">
      <x:c r="A33" s="187" t="str">
        <x:v>ZOM-0029</x:v>
      </x:c>
      <x:c r="B33" s="188" t="n">
        <x:v>45686</x:v>
      </x:c>
      <x:c r="C33" s="234" t="str">
        <x:v>Central</x:v>
      </x:c>
      <x:c r="D33" s="187" t="str">
        <x:v>Indore</x:v>
      </x:c>
      <x:c r="E33" s="187" t="str">
        <x:v>Biryani</x:v>
      </x:c>
      <x:c r="F33" s="187" t="str">
        <x:v>Corporate</x:v>
      </x:c>
      <x:c r="G33" s="187" t="str">
        <x:v>Corporate Customer 04</x:v>
      </x:c>
      <x:c r="H33" s="189" t="n">
        <x:v>110</x:v>
      </x:c>
      <x:c r="I33" s="190" t="n">
        <x:v>417</x:v>
      </x:c>
      <x:c r="J33" s="191" t="n">
        <x:v>0.02</x:v>
      </x:c>
      <x:c r="K33" s="190" t="n">
        <x:f>H33*I33</x:f>
        <x:v>45870</x:v>
      </x:c>
      <x:c r="L33" s="190" t="n">
        <x:f>K33*(1-J33)</x:f>
        <x:v>44952.6</x:v>
      </x:c>
      <x:c r="M33" s="190" t="n">
        <x:f>L33*(0.74-IF(E33="Healthy",0.04,IF(E33="Beverages",0.06,IF(E33="Desserts",0.05,IF(E33="North Indian",0.01,0)))))</x:f>
        <x:v>33264.924</x:v>
      </x:c>
      <x:c r="N33" s="190" t="n">
        <x:f>L33-M33</x:f>
        <x:v>11687.676</x:v>
      </x:c>
      <x:c r="O33" s="190" t="n">
        <x:f>L33*0.13</x:f>
        <x:v>5843.838</x:v>
      </x:c>
      <x:c r="P33" s="190" t="n">
        <x:f>N33-O33</x:f>
        <x:v>5843.838</x:v>
      </x:c>
      <x:c r="Q33" s="190" t="n">
        <x:v>49851.493240925396</x:v>
      </x:c>
    </x:row>
    <x:row r="34" ht="15">
      <x:c r="A34" s="187" t="str">
        <x:v>ZOM-0030</x:v>
      </x:c>
      <x:c r="B34" s="188" t="n">
        <x:v>45687</x:v>
      </x:c>
      <x:c r="C34" s="234" t="str">
        <x:v>North</x:v>
      </x:c>
      <x:c r="D34" s="187" t="str">
        <x:v>Jaipur</x:v>
      </x:c>
      <x:c r="E34" s="187" t="str">
        <x:v>Healthy</x:v>
      </x:c>
      <x:c r="F34" s="187" t="str">
        <x:v>New User</x:v>
      </x:c>
      <x:c r="G34" s="187" t="str">
        <x:v>New User Customer 36</x:v>
      </x:c>
      <x:c r="H34" s="189" t="n">
        <x:v>104</x:v>
      </x:c>
      <x:c r="I34" s="190" t="n">
        <x:v>449</x:v>
      </x:c>
      <x:c r="J34" s="191" t="n">
        <x:v>0.08</x:v>
      </x:c>
      <x:c r="K34" s="190" t="n">
        <x:f>H34*I34</x:f>
        <x:v>46696</x:v>
      </x:c>
      <x:c r="L34" s="190" t="n">
        <x:f>K34*(1-J34)</x:f>
        <x:v>42960.32</x:v>
      </x:c>
      <x:c r="M34" s="190" t="n">
        <x:f>L34*(0.74-IF(E34="Healthy",0.04,IF(E34="Beverages",0.06,IF(E34="Desserts",0.05,IF(E34="North Indian",0.01,0)))))</x:f>
        <x:v>30072.224</x:v>
      </x:c>
      <x:c r="N34" s="190" t="n">
        <x:f>L34-M34</x:f>
        <x:v>12888.096000000001</x:v>
      </x:c>
      <x:c r="O34" s="190" t="n">
        <x:f>L34*0.13</x:f>
        <x:v>5584.8416</x:v>
      </x:c>
      <x:c r="P34" s="190" t="n">
        <x:f>N34-O34</x:f>
        <x:v>7303.254400000002</x:v>
      </x:c>
      <x:c r="Q34" s="190" t="n">
        <x:v>46598.203919167056</x:v>
      </x:c>
    </x:row>
    <x:row r="35" ht="15">
      <x:c r="A35" s="187" t="str">
        <x:v>ZOM-0031</x:v>
      </x:c>
      <x:c r="B35" s="188" t="n">
        <x:v>45688</x:v>
      </x:c>
      <x:c r="C35" s="234" t="str">
        <x:v>North</x:v>
      </x:c>
      <x:c r="D35" s="187" t="str">
        <x:v>Delhi</x:v>
      </x:c>
      <x:c r="E35" s="187" t="str">
        <x:v>Snacks</x:v>
      </x:c>
      <x:c r="F35" s="187" t="str">
        <x:v>Budget</x:v>
      </x:c>
      <x:c r="G35" s="187" t="str">
        <x:v>Budget Customer 20</x:v>
      </x:c>
      <x:c r="H35" s="189" t="n">
        <x:v>71</x:v>
      </x:c>
      <x:c r="I35" s="190" t="n">
        <x:v>253</x:v>
      </x:c>
      <x:c r="J35" s="191" t="n">
        <x:v>0.1</x:v>
      </x:c>
      <x:c r="K35" s="190" t="n">
        <x:f>H35*I35</x:f>
        <x:v>17963</x:v>
      </x:c>
      <x:c r="L35" s="190" t="n">
        <x:f>K35*(1-J35)</x:f>
        <x:v>16166.7</x:v>
      </x:c>
      <x:c r="M35" s="190" t="n">
        <x:f>L35*(0.74-IF(E35="Healthy",0.04,IF(E35="Beverages",0.06,IF(E35="Desserts",0.05,IF(E35="North Indian",0.01,0)))))</x:f>
        <x:v>11963.358</x:v>
      </x:c>
      <x:c r="N35" s="190" t="n">
        <x:f>L35-M35</x:f>
        <x:v>4203.342000000001</x:v>
      </x:c>
      <x:c r="O35" s="190" t="n">
        <x:f>L35*0.13</x:f>
        <x:v>2101.6710000000003</x:v>
      </x:c>
      <x:c r="P35" s="190" t="n">
        <x:f>N35-O35</x:f>
        <x:v>2101.6710000000003</x:v>
      </x:c>
      <x:c r="Q35" s="190" t="n">
        <x:v>16413.94481718943</x:v>
      </x:c>
    </x:row>
    <x:row r="36" ht="15">
      <x:c r="A36" s="187" t="str">
        <x:v>ZOM-0032</x:v>
      </x:c>
      <x:c r="B36" s="188" t="n">
        <x:v>45689</x:v>
      </x:c>
      <x:c r="C36" s="234" t="str">
        <x:v>South</x:v>
      </x:c>
      <x:c r="D36" s="187" t="str">
        <x:v>Bengaluru</x:v>
      </x:c>
      <x:c r="E36" s="187" t="str">
        <x:v>Beverages</x:v>
      </x:c>
      <x:c r="F36" s="187" t="str">
        <x:v>Repeat User</x:v>
      </x:c>
      <x:c r="G36" s="187" t="str">
        <x:v>Repeat User Customer 40</x:v>
      </x:c>
      <x:c r="H36" s="189" t="n">
        <x:v>102</x:v>
      </x:c>
      <x:c r="I36" s="190" t="n">
        <x:v>243</x:v>
      </x:c>
      <x:c r="J36" s="191" t="n">
        <x:v>0.05</x:v>
      </x:c>
      <x:c r="K36" s="190" t="n">
        <x:f>H36*I36</x:f>
        <x:v>24786</x:v>
      </x:c>
      <x:c r="L36" s="190" t="n">
        <x:f>K36*(1-J36)</x:f>
        <x:v>23546.699999999997</x:v>
      </x:c>
      <x:c r="M36" s="190" t="n">
        <x:f>L36*(0.74-IF(E36="Healthy",0.04,IF(E36="Beverages",0.06,IF(E36="Desserts",0.05,IF(E36="North Indian",0.01,0)))))</x:f>
        <x:v>16011.755999999996</x:v>
      </x:c>
      <x:c r="N36" s="190" t="n">
        <x:f>L36-M36</x:f>
        <x:v>7534.944000000001</x:v>
      </x:c>
      <x:c r="O36" s="190" t="n">
        <x:f>L36*0.13</x:f>
        <x:v>3061.071</x:v>
      </x:c>
      <x:c r="P36" s="190" t="n">
        <x:f>N36-O36</x:f>
        <x:v>4473.873000000001</x:v>
      </x:c>
      <x:c r="Q36" s="190" t="n">
        <x:v>24694.961578219187</x:v>
      </x:c>
    </x:row>
    <x:row r="37" ht="15">
      <x:c r="A37" s="187" t="str">
        <x:v>ZOM-0033</x:v>
      </x:c>
      <x:c r="B37" s="188" t="n">
        <x:v>45690</x:v>
      </x:c>
      <x:c r="C37" s="234" t="str">
        <x:v>Central</x:v>
      </x:c>
      <x:c r="D37" s="187" t="str">
        <x:v>Indore</x:v>
      </x:c>
      <x:c r="E37" s="187" t="str">
        <x:v>Healthy</x:v>
      </x:c>
      <x:c r="F37" s="187" t="str">
        <x:v>Student</x:v>
      </x:c>
      <x:c r="G37" s="187" t="str">
        <x:v>Student Customer 27</x:v>
      </x:c>
      <x:c r="H37" s="189" t="n">
        <x:v>59</x:v>
      </x:c>
      <x:c r="I37" s="190" t="n">
        <x:v>468</x:v>
      </x:c>
      <x:c r="J37" s="191" t="n">
        <x:v>0.09999999999999999</x:v>
      </x:c>
      <x:c r="K37" s="190" t="n">
        <x:f>H37*I37</x:f>
        <x:v>27612</x:v>
      </x:c>
      <x:c r="L37" s="190" t="n">
        <x:f>K37*(1-J37)</x:f>
        <x:v>24850.8</x:v>
      </x:c>
      <x:c r="M37" s="190" t="n">
        <x:f>L37*(0.74-IF(E37="Healthy",0.04,IF(E37="Beverages",0.06,IF(E37="Desserts",0.05,IF(E37="North Indian",0.01,0)))))</x:f>
        <x:v>17395.559999999998</x:v>
      </x:c>
      <x:c r="N37" s="190" t="n">
        <x:f>L37-M37</x:f>
        <x:v>7455.240000000002</x:v>
      </x:c>
      <x:c r="O37" s="190" t="n">
        <x:f>L37*0.13</x:f>
        <x:v>3230.604</x:v>
      </x:c>
      <x:c r="P37" s="190" t="n">
        <x:f>N37-O37</x:f>
        <x:v>4224.636000000002</x:v>
      </x:c>
      <x:c r="Q37" s="190" t="n">
        <x:v>27183.95164061587</x:v>
      </x:c>
    </x:row>
    <x:row r="38" ht="15">
      <x:c r="A38" s="187" t="str">
        <x:v>ZOM-0034</x:v>
      </x:c>
      <x:c r="B38" s="188" t="n">
        <x:v>45691</x:v>
      </x:c>
      <x:c r="C38" s="234" t="str">
        <x:v>Central</x:v>
      </x:c>
      <x:c r="D38" s="187" t="str">
        <x:v>Indore</x:v>
      </x:c>
      <x:c r="E38" s="187" t="str">
        <x:v>Biryani</x:v>
      </x:c>
      <x:c r="F38" s="187" t="str">
        <x:v>Budget</x:v>
      </x:c>
      <x:c r="G38" s="187" t="str">
        <x:v>Budget Customer 30</x:v>
      </x:c>
      <x:c r="H38" s="189" t="n">
        <x:v>55</x:v>
      </x:c>
      <x:c r="I38" s="190" t="n">
        <x:v>453</x:v>
      </x:c>
      <x:c r="J38" s="191" t="n">
        <x:v>0.08</x:v>
      </x:c>
      <x:c r="K38" s="190" t="n">
        <x:f>H38*I38</x:f>
        <x:v>24915</x:v>
      </x:c>
      <x:c r="L38" s="190" t="n">
        <x:f>K38*(1-J38)</x:f>
        <x:v>22921.8</x:v>
      </x:c>
      <x:c r="M38" s="190" t="n">
        <x:f>L38*(0.74-IF(E38="Healthy",0.04,IF(E38="Beverages",0.06,IF(E38="Desserts",0.05,IF(E38="North Indian",0.01,0)))))</x:f>
        <x:v>16962.131999999998</x:v>
      </x:c>
      <x:c r="N38" s="190" t="n">
        <x:f>L38-M38</x:f>
        <x:v>5959.6680000000015</x:v>
      </x:c>
      <x:c r="O38" s="190" t="n">
        <x:f>L38*0.13</x:f>
        <x:v>2979.834</x:v>
      </x:c>
      <x:c r="P38" s="190" t="n">
        <x:f>N38-O38</x:f>
        <x:v>2979.8340000000017</x:v>
      </x:c>
      <x:c r="Q38" s="190" t="n">
        <x:v>25167.916182740602</x:v>
      </x:c>
    </x:row>
    <x:row r="39" ht="15">
      <x:c r="A39" s="187" t="str">
        <x:v>ZOM-0035</x:v>
      </x:c>
      <x:c r="B39" s="188" t="n">
        <x:v>45692</x:v>
      </x:c>
      <x:c r="C39" s="234" t="str">
        <x:v>South</x:v>
      </x:c>
      <x:c r="D39" s="187" t="str">
        <x:v>Hyderabad</x:v>
      </x:c>
      <x:c r="E39" s="187" t="str">
        <x:v>Biryani</x:v>
      </x:c>
      <x:c r="F39" s="187" t="str">
        <x:v>Budget</x:v>
      </x:c>
      <x:c r="G39" s="187" t="str">
        <x:v>Budget Customer 26</x:v>
      </x:c>
      <x:c r="H39" s="189" t="n">
        <x:v>99</x:v>
      </x:c>
      <x:c r="I39" s="190" t="n">
        <x:v>442</x:v>
      </x:c>
      <x:c r="J39" s="191" t="n">
        <x:v>0.08</x:v>
      </x:c>
      <x:c r="K39" s="190" t="n">
        <x:f>H39*I39</x:f>
        <x:v>43758</x:v>
      </x:c>
      <x:c r="L39" s="190" t="n">
        <x:f>K39*(1-J39)</x:f>
        <x:v>40257.36</x:v>
      </x:c>
      <x:c r="M39" s="190" t="n">
        <x:f>L39*(0.74-IF(E39="Healthy",0.04,IF(E39="Beverages",0.06,IF(E39="Desserts",0.05,IF(E39="North Indian",0.01,0)))))</x:f>
        <x:v>29790.4464</x:v>
      </x:c>
      <x:c r="N39" s="190" t="n">
        <x:f>L39-M39</x:f>
        <x:v>10466.9136</x:v>
      </x:c>
      <x:c r="O39" s="190" t="n">
        <x:f>L39*0.13</x:f>
        <x:v>5233.4568</x:v>
      </x:c>
      <x:c r="P39" s="190" t="n">
        <x:f>N39-O39</x:f>
        <x:v>5233.4568</x:v>
      </x:c>
      <x:c r="Q39" s="190" t="n">
        <x:v>43356.283354146384</x:v>
      </x:c>
    </x:row>
    <x:row r="40" ht="15">
      <x:c r="A40" s="187" t="str">
        <x:v>ZOM-0036</x:v>
      </x:c>
      <x:c r="B40" s="188" t="n">
        <x:v>45693</x:v>
      </x:c>
      <x:c r="C40" s="234" t="str">
        <x:v>East</x:v>
      </x:c>
      <x:c r="D40" s="187" t="str">
        <x:v>Guwahati</x:v>
      </x:c>
      <x:c r="E40" s="187" t="str">
        <x:v>Pizza</x:v>
      </x:c>
      <x:c r="F40" s="187" t="str">
        <x:v>New User</x:v>
      </x:c>
      <x:c r="G40" s="187" t="str">
        <x:v>New User Customer 51</x:v>
      </x:c>
      <x:c r="H40" s="189" t="n">
        <x:v>84</x:v>
      </x:c>
      <x:c r="I40" s="190" t="n">
        <x:v>556</x:v>
      </x:c>
      <x:c r="J40" s="191" t="n">
        <x:v>0.08</x:v>
      </x:c>
      <x:c r="K40" s="190" t="n">
        <x:f>H40*I40</x:f>
        <x:v>46704</x:v>
      </x:c>
      <x:c r="L40" s="190" t="n">
        <x:f>K40*(1-J40)</x:f>
        <x:v>42967.68</x:v>
      </x:c>
      <x:c r="M40" s="190" t="n">
        <x:f>L40*(0.74-IF(E40="Healthy",0.04,IF(E40="Beverages",0.06,IF(E40="Desserts",0.05,IF(E40="North Indian",0.01,0)))))</x:f>
        <x:v>31796.0832</x:v>
      </x:c>
      <x:c r="N40" s="190" t="n">
        <x:f>L40-M40</x:f>
        <x:v>11171.5968</x:v>
      </x:c>
      <x:c r="O40" s="190" t="n">
        <x:f>L40*0.13</x:f>
        <x:v>5585.798400000001</x:v>
      </x:c>
      <x:c r="P40" s="190" t="n">
        <x:f>N40-O40</x:f>
        <x:v>5585.798399999999</x:v>
      </x:c>
      <x:c r="Q40" s="190" t="n">
        <x:v>44750.08478337383</x:v>
      </x:c>
    </x:row>
    <x:row r="41" ht="15">
      <x:c r="A41" s="187" t="str">
        <x:v>ZOM-0037</x:v>
      </x:c>
      <x:c r="B41" s="188" t="n">
        <x:v>45694</x:v>
      </x:c>
      <x:c r="C41" s="234" t="str">
        <x:v>South</x:v>
      </x:c>
      <x:c r="D41" s="187" t="str">
        <x:v>Coimbatore</x:v>
      </x:c>
      <x:c r="E41" s="187" t="str">
        <x:v>Snacks</x:v>
      </x:c>
      <x:c r="F41" s="187" t="str">
        <x:v>New User</x:v>
      </x:c>
      <x:c r="G41" s="187" t="str">
        <x:v>New User Customer 35</x:v>
      </x:c>
      <x:c r="H41" s="189" t="n">
        <x:v>136</x:v>
      </x:c>
      <x:c r="I41" s="190" t="n">
        <x:v>216</x:v>
      </x:c>
      <x:c r="J41" s="191" t="n">
        <x:v>0.06</x:v>
      </x:c>
      <x:c r="K41" s="190" t="n">
        <x:f>H41*I41</x:f>
        <x:v>29376</x:v>
      </x:c>
      <x:c r="L41" s="190" t="n">
        <x:f>K41*(1-J41)</x:f>
        <x:v>27613.44</x:v>
      </x:c>
      <x:c r="M41" s="190" t="n">
        <x:f>L41*(0.74-IF(E41="Healthy",0.04,IF(E41="Beverages",0.06,IF(E41="Desserts",0.05,IF(E41="North Indian",0.01,0)))))</x:f>
        <x:v>20433.9456</x:v>
      </x:c>
      <x:c r="N41" s="190" t="n">
        <x:f>L41-M41</x:f>
        <x:v>7179.4944</x:v>
      </x:c>
      <x:c r="O41" s="190" t="n">
        <x:f>L41*0.13</x:f>
        <x:v>3589.7472</x:v>
      </x:c>
      <x:c r="P41" s="190" t="n">
        <x:f>N41-O41</x:f>
        <x:v>3589.7472</x:v>
      </x:c>
      <x:c r="Q41" s="190" t="n">
        <x:v>30680.43771575988</x:v>
      </x:c>
    </x:row>
    <x:row r="42" ht="15">
      <x:c r="A42" s="187" t="str">
        <x:v>ZOM-0038</x:v>
      </x:c>
      <x:c r="B42" s="188" t="n">
        <x:v>45695</x:v>
      </x:c>
      <x:c r="C42" s="234" t="str">
        <x:v>East</x:v>
      </x:c>
      <x:c r="D42" s="187" t="str">
        <x:v>Bhubaneswar</x:v>
      </x:c>
      <x:c r="E42" s="187" t="str">
        <x:v>Pizza</x:v>
      </x:c>
      <x:c r="F42" s="187" t="str">
        <x:v>New User</x:v>
      </x:c>
      <x:c r="G42" s="187" t="str">
        <x:v>New User Customer 27</x:v>
      </x:c>
      <x:c r="H42" s="189" t="n">
        <x:v>91</x:v>
      </x:c>
      <x:c r="I42" s="190" t="n">
        <x:v>675</x:v>
      </x:c>
      <x:c r="J42" s="191" t="n">
        <x:v>0.06</x:v>
      </x:c>
      <x:c r="K42" s="190" t="n">
        <x:f>H42*I42</x:f>
        <x:v>61425</x:v>
      </x:c>
      <x:c r="L42" s="190" t="n">
        <x:f>K42*(1-J42)</x:f>
        <x:v>57739.5</x:v>
      </x:c>
      <x:c r="M42" s="190" t="n">
        <x:f>L42*(0.74-IF(E42="Healthy",0.04,IF(E42="Beverages",0.06,IF(E42="Desserts",0.05,IF(E42="North Indian",0.01,0)))))</x:f>
        <x:v>42727.229999999996</x:v>
      </x:c>
      <x:c r="N42" s="190" t="n">
        <x:f>L42-M42</x:f>
        <x:v>15012.270000000004</x:v>
      </x:c>
      <x:c r="O42" s="190" t="n">
        <x:f>L42*0.13</x:f>
        <x:v>7506.135</x:v>
      </x:c>
      <x:c r="P42" s="190" t="n">
        <x:f>N42-O42</x:f>
        <x:v>7506.135000000004</x:v>
      </x:c>
      <x:c r="Q42" s="190" t="n">
        <x:v>59882.453010431585</x:v>
      </x:c>
    </x:row>
    <x:row r="43" ht="15">
      <x:c r="A43" s="187" t="str">
        <x:v>ZOM-0039</x:v>
      </x:c>
      <x:c r="B43" s="188" t="n">
        <x:v>45696</x:v>
      </x:c>
      <x:c r="C43" s="234" t="str">
        <x:v>South</x:v>
      </x:c>
      <x:c r="D43" s="187" t="str">
        <x:v>Chennai</x:v>
      </x:c>
      <x:c r="E43" s="187" t="str">
        <x:v>Chinese</x:v>
      </x:c>
      <x:c r="F43" s="187" t="str">
        <x:v>Repeat User</x:v>
      </x:c>
      <x:c r="G43" s="187" t="str">
        <x:v>Repeat User Customer 01</x:v>
      </x:c>
      <x:c r="H43" s="189" t="n">
        <x:v>119</x:v>
      </x:c>
      <x:c r="I43" s="190" t="n">
        <x:v>489</x:v>
      </x:c>
      <x:c r="J43" s="191" t="n">
        <x:v>0.05</x:v>
      </x:c>
      <x:c r="K43" s="190" t="n">
        <x:f>H43*I43</x:f>
        <x:v>58191</x:v>
      </x:c>
      <x:c r="L43" s="190" t="n">
        <x:f>K43*(1-J43)</x:f>
        <x:v>55281.45</x:v>
      </x:c>
      <x:c r="M43" s="190" t="n">
        <x:f>L43*(0.74-IF(E43="Healthy",0.04,IF(E43="Beverages",0.06,IF(E43="Desserts",0.05,IF(E43="North Indian",0.01,0)))))</x:f>
        <x:v>40908.272999999994</x:v>
      </x:c>
      <x:c r="N43" s="190" t="n">
        <x:f>L43-M43</x:f>
        <x:v>14373.177000000003</x:v>
      </x:c>
      <x:c r="O43" s="190" t="n">
        <x:f>L43*0.13</x:f>
        <x:v>7186.5885</x:v>
      </x:c>
      <x:c r="P43" s="190" t="n">
        <x:f>N43-O43</x:f>
        <x:v>7186.5885000000035</x:v>
      </x:c>
      <x:c r="Q43" s="190" t="n">
        <x:v>58916.34163813205</x:v>
      </x:c>
    </x:row>
    <x:row r="44" ht="15">
      <x:c r="A44" s="187" t="str">
        <x:v>ZOM-0040</x:v>
      </x:c>
      <x:c r="B44" s="188" t="n">
        <x:v>45697</x:v>
      </x:c>
      <x:c r="C44" s="234" t="str">
        <x:v>South</x:v>
      </x:c>
      <x:c r="D44" s="187" t="str">
        <x:v>Hyderabad</x:v>
      </x:c>
      <x:c r="E44" s="187" t="str">
        <x:v>South Indian</x:v>
      </x:c>
      <x:c r="F44" s="187" t="str">
        <x:v>Corporate</x:v>
      </x:c>
      <x:c r="G44" s="187" t="str">
        <x:v>Corporate Customer 51</x:v>
      </x:c>
      <x:c r="H44" s="189" t="n">
        <x:v>129</x:v>
      </x:c>
      <x:c r="I44" s="190" t="n">
        <x:v>367</x:v>
      </x:c>
      <x:c r="J44" s="191" t="n">
        <x:v>0.03</x:v>
      </x:c>
      <x:c r="K44" s="190" t="n">
        <x:f>H44*I44</x:f>
        <x:v>47343</x:v>
      </x:c>
      <x:c r="L44" s="190" t="n">
        <x:f>K44*(1-J44)</x:f>
        <x:v>45922.71</x:v>
      </x:c>
      <x:c r="M44" s="190" t="n">
        <x:f>L44*(0.74-IF(E44="Healthy",0.04,IF(E44="Beverages",0.06,IF(E44="Desserts",0.05,IF(E44="North Indian",0.01,0)))))</x:f>
        <x:v>33982.8054</x:v>
      </x:c>
      <x:c r="N44" s="190" t="n">
        <x:f>L44-M44</x:f>
        <x:v>11939.904600000002</x:v>
      </x:c>
      <x:c r="O44" s="190" t="n">
        <x:f>L44*0.13</x:f>
        <x:v>5969.9523</x:v>
      </x:c>
      <x:c r="P44" s="190" t="n">
        <x:f>N44-O44</x:f>
        <x:v>5969.952300000002</x:v>
      </x:c>
      <x:c r="Q44" s="190" t="n">
        <x:v>50296.767665985506</x:v>
      </x:c>
    </x:row>
    <x:row r="45" ht="15">
      <x:c r="A45" s="187" t="str">
        <x:v>ZOM-0041</x:v>
      </x:c>
      <x:c r="B45" s="188" t="n">
        <x:v>45698</x:v>
      </x:c>
      <x:c r="C45" s="234" t="str">
        <x:v>Central</x:v>
      </x:c>
      <x:c r="D45" s="187" t="str">
        <x:v>Bhopal</x:v>
      </x:c>
      <x:c r="E45" s="187" t="str">
        <x:v>Pizza</x:v>
      </x:c>
      <x:c r="F45" s="187" t="str">
        <x:v>Budget</x:v>
      </x:c>
      <x:c r="G45" s="187" t="str">
        <x:v>Budget Customer 02</x:v>
      </x:c>
      <x:c r="H45" s="189" t="n">
        <x:v>99</x:v>
      </x:c>
      <x:c r="I45" s="190" t="n">
        <x:v>598</x:v>
      </x:c>
      <x:c r="J45" s="191" t="n">
        <x:v>0.1</x:v>
      </x:c>
      <x:c r="K45" s="190" t="n">
        <x:f>H45*I45</x:f>
        <x:v>59202</x:v>
      </x:c>
      <x:c r="L45" s="190" t="n">
        <x:f>K45*(1-J45)</x:f>
        <x:v>53281.8</x:v>
      </x:c>
      <x:c r="M45" s="190" t="n">
        <x:f>L45*(0.74-IF(E45="Healthy",0.04,IF(E45="Beverages",0.06,IF(E45="Desserts",0.05,IF(E45="North Indian",0.01,0)))))</x:f>
        <x:v>39428.532</x:v>
      </x:c>
      <x:c r="N45" s="190" t="n">
        <x:f>L45-M45</x:f>
        <x:v>13853.268000000004</x:v>
      </x:c>
      <x:c r="O45" s="190" t="n">
        <x:f>L45*0.13</x:f>
        <x:v>6926.634000000001</x:v>
      </x:c>
      <x:c r="P45" s="190" t="n">
        <x:f>N45-O45</x:f>
        <x:v>6926.634000000003</x:v>
      </x:c>
      <x:c r="Q45" s="190" t="n">
        <x:v>54555.000149946114</x:v>
      </x:c>
    </x:row>
    <x:row r="46" ht="15">
      <x:c r="A46" s="187" t="str">
        <x:v>ZOM-0042</x:v>
      </x:c>
      <x:c r="B46" s="188" t="n">
        <x:v>45699</x:v>
      </x:c>
      <x:c r="C46" s="234" t="str">
        <x:v>North</x:v>
      </x:c>
      <x:c r="D46" s="187" t="str">
        <x:v>Jaipur</x:v>
      </x:c>
      <x:c r="E46" s="187" t="str">
        <x:v>Burgers</x:v>
      </x:c>
      <x:c r="F46" s="187" t="str">
        <x:v>Budget</x:v>
      </x:c>
      <x:c r="G46" s="187" t="str">
        <x:v>Budget Customer 10</x:v>
      </x:c>
      <x:c r="H46" s="189" t="n">
        <x:v>99</x:v>
      </x:c>
      <x:c r="I46" s="190" t="n">
        <x:v>409</x:v>
      </x:c>
      <x:c r="J46" s="191" t="n">
        <x:v>0.1</x:v>
      </x:c>
      <x:c r="K46" s="190" t="n">
        <x:f>H46*I46</x:f>
        <x:v>40491</x:v>
      </x:c>
      <x:c r="L46" s="190" t="n">
        <x:f>K46*(1-J46)</x:f>
        <x:v>36441.9</x:v>
      </x:c>
      <x:c r="M46" s="190" t="n">
        <x:f>L46*(0.74-IF(E46="Healthy",0.04,IF(E46="Beverages",0.06,IF(E46="Desserts",0.05,IF(E46="North Indian",0.01,0)))))</x:f>
        <x:v>26967.006</x:v>
      </x:c>
      <x:c r="N46" s="190" t="n">
        <x:f>L46-M46</x:f>
        <x:v>9474.894</x:v>
      </x:c>
      <x:c r="O46" s="190" t="n">
        <x:f>L46*0.13</x:f>
        <x:v>4737.447</x:v>
      </x:c>
      <x:c r="P46" s="190" t="n">
        <x:f>N46-O46</x:f>
        <x:v>4737.447</x:v>
      </x:c>
      <x:c r="Q46" s="190" t="n">
        <x:v>38189.59315963926</x:v>
      </x:c>
    </x:row>
    <x:row r="47" ht="15">
      <x:c r="A47" s="187" t="str">
        <x:v>ZOM-0043</x:v>
      </x:c>
      <x:c r="B47" s="188" t="n">
        <x:v>45700</x:v>
      </x:c>
      <x:c r="C47" s="234" t="str">
        <x:v>East</x:v>
      </x:c>
      <x:c r="D47" s="187" t="str">
        <x:v>Kolkata</x:v>
      </x:c>
      <x:c r="E47" s="187" t="str">
        <x:v>Beverages</x:v>
      </x:c>
      <x:c r="F47" s="187" t="str">
        <x:v>Student</x:v>
      </x:c>
      <x:c r="G47" s="187" t="str">
        <x:v>Student Customer 04</x:v>
      </x:c>
      <x:c r="H47" s="189" t="n">
        <x:v>55</x:v>
      </x:c>
      <x:c r="I47" s="190" t="n">
        <x:v>254</x:v>
      </x:c>
      <x:c r="J47" s="191" t="n">
        <x:v>0.12</x:v>
      </x:c>
      <x:c r="K47" s="190" t="n">
        <x:f>H47*I47</x:f>
        <x:v>13970</x:v>
      </x:c>
      <x:c r="L47" s="190" t="n">
        <x:f>K47*(1-J47)</x:f>
        <x:v>12293.6</x:v>
      </x:c>
      <x:c r="M47" s="190" t="n">
        <x:f>L47*(0.74-IF(E47="Healthy",0.04,IF(E47="Beverages",0.06,IF(E47="Desserts",0.05,IF(E47="North Indian",0.01,0)))))</x:f>
        <x:v>8359.648</x:v>
      </x:c>
      <x:c r="N47" s="190" t="n">
        <x:f>L47-M47</x:f>
        <x:v>3933.952000000001</x:v>
      </x:c>
      <x:c r="O47" s="190" t="n">
        <x:f>L47*0.13</x:f>
        <x:v>1598.1680000000001</x:v>
      </x:c>
      <x:c r="P47" s="190" t="n">
        <x:f>N47-O47</x:f>
        <x:v>2335.784000000001</x:v>
      </x:c>
      <x:c r="Q47" s="190" t="n">
        <x:v>13057.707848102622</x:v>
      </x:c>
    </x:row>
    <x:row r="48" ht="15">
      <x:c r="A48" s="187" t="str">
        <x:v>ZOM-0044</x:v>
      </x:c>
      <x:c r="B48" s="188" t="n">
        <x:v>45701</x:v>
      </x:c>
      <x:c r="C48" s="234" t="str">
        <x:v>West</x:v>
      </x:c>
      <x:c r="D48" s="187" t="str">
        <x:v>Mumbai</x:v>
      </x:c>
      <x:c r="E48" s="187" t="str">
        <x:v>South Indian</x:v>
      </x:c>
      <x:c r="F48" s="187" t="str">
        <x:v>Budget</x:v>
      </x:c>
      <x:c r="G48" s="187" t="str">
        <x:v>Budget Customer 47</x:v>
      </x:c>
      <x:c r="H48" s="189" t="n">
        <x:v>116</x:v>
      </x:c>
      <x:c r="I48" s="190" t="n">
        <x:v>448</x:v>
      </x:c>
      <x:c r="J48" s="191" t="n">
        <x:v>0.1</x:v>
      </x:c>
      <x:c r="K48" s="190" t="n">
        <x:f>H48*I48</x:f>
        <x:v>51968</x:v>
      </x:c>
      <x:c r="L48" s="190" t="n">
        <x:f>K48*(1-J48)</x:f>
        <x:v>46771.200000000004</x:v>
      </x:c>
      <x:c r="M48" s="190" t="n">
        <x:f>L48*(0.74-IF(E48="Healthy",0.04,IF(E48="Beverages",0.06,IF(E48="Desserts",0.05,IF(E48="North Indian",0.01,0)))))</x:f>
        <x:v>34610.688</x:v>
      </x:c>
      <x:c r="N48" s="190" t="n">
        <x:f>L48-M48</x:f>
        <x:v>12160.512000000002</x:v>
      </x:c>
      <x:c r="O48" s="190" t="n">
        <x:f>L48*0.13</x:f>
        <x:v>6080.256000000001</x:v>
      </x:c>
      <x:c r="P48" s="190" t="n">
        <x:f>N48-O48</x:f>
        <x:v>6080.256000000001</x:v>
      </x:c>
      <x:c r="Q48" s="190" t="n">
        <x:v>50209.73811820261</x:v>
      </x:c>
    </x:row>
    <x:row r="49" ht="15">
      <x:c r="A49" s="187" t="str">
        <x:v>ZOM-0045</x:v>
      </x:c>
      <x:c r="B49" s="188" t="n">
        <x:v>45702</x:v>
      </x:c>
      <x:c r="C49" s="234" t="str">
        <x:v>Metro</x:v>
      </x:c>
      <x:c r="D49" s="187" t="str">
        <x:v>Hyderabad</x:v>
      </x:c>
      <x:c r="E49" s="187" t="str">
        <x:v>Healthy</x:v>
      </x:c>
      <x:c r="F49" s="187" t="str">
        <x:v>Gold User</x:v>
      </x:c>
      <x:c r="G49" s="187" t="str">
        <x:v>Gold User Customer 18</x:v>
      </x:c>
      <x:c r="H49" s="189" t="n">
        <x:v>109</x:v>
      </x:c>
      <x:c r="I49" s="190" t="n">
        <x:v>445</x:v>
      </x:c>
      <x:c r="J49" s="191" t="n">
        <x:v>0.04</x:v>
      </x:c>
      <x:c r="K49" s="190" t="n">
        <x:f>H49*I49</x:f>
        <x:v>48505</x:v>
      </x:c>
      <x:c r="L49" s="190" t="n">
        <x:f>K49*(1-J49)</x:f>
        <x:v>46564.799999999996</x:v>
      </x:c>
      <x:c r="M49" s="190" t="n">
        <x:f>L49*(0.74-IF(E49="Healthy",0.04,IF(E49="Beverages",0.06,IF(E49="Desserts",0.05,IF(E49="North Indian",0.01,0)))))</x:f>
        <x:v>32595.359999999993</x:v>
      </x:c>
      <x:c r="N49" s="190" t="n">
        <x:f>L49-M49</x:f>
        <x:v>13969.440000000002</x:v>
      </x:c>
      <x:c r="O49" s="190" t="n">
        <x:f>L49*0.13</x:f>
        <x:v>6053.424</x:v>
      </x:c>
      <x:c r="P49" s="190" t="n">
        <x:f>N49-O49</x:f>
        <x:v>7916.016000000002</x:v>
      </x:c>
      <x:c r="Q49" s="190" t="n">
        <x:v>51257.76568797377</x:v>
      </x:c>
    </x:row>
    <x:row r="50" ht="15">
      <x:c r="A50" s="187" t="str">
        <x:v>ZOM-0046</x:v>
      </x:c>
      <x:c r="B50" s="188" t="n">
        <x:v>45703</x:v>
      </x:c>
      <x:c r="C50" s="234" t="str">
        <x:v>Central</x:v>
      </x:c>
      <x:c r="D50" s="187" t="str">
        <x:v>Varanasi</x:v>
      </x:c>
      <x:c r="E50" s="187" t="str">
        <x:v>South Indian</x:v>
      </x:c>
      <x:c r="F50" s="187" t="str">
        <x:v>Repeat User</x:v>
      </x:c>
      <x:c r="G50" s="187" t="str">
        <x:v>Repeat User Customer 06</x:v>
      </x:c>
      <x:c r="H50" s="189" t="n">
        <x:v>104</x:v>
      </x:c>
      <x:c r="I50" s="190" t="n">
        <x:v>307</x:v>
      </x:c>
      <x:c r="J50" s="191" t="n">
        <x:v>0.05</x:v>
      </x:c>
      <x:c r="K50" s="190" t="n">
        <x:f>H50*I50</x:f>
        <x:v>31928</x:v>
      </x:c>
      <x:c r="L50" s="190" t="n">
        <x:f>K50*(1-J50)</x:f>
        <x:v>30331.6</x:v>
      </x:c>
      <x:c r="M50" s="190" t="n">
        <x:f>L50*(0.74-IF(E50="Healthy",0.04,IF(E50="Beverages",0.06,IF(E50="Desserts",0.05,IF(E50="North Indian",0.01,0)))))</x:f>
        <x:v>22445.384</x:v>
      </x:c>
      <x:c r="N50" s="190" t="n">
        <x:f>L50-M50</x:f>
        <x:v>7886.216</x:v>
      </x:c>
      <x:c r="O50" s="190" t="n">
        <x:f>L50*0.13</x:f>
        <x:v>3943.1079999999997</x:v>
      </x:c>
      <x:c r="P50" s="190" t="n">
        <x:f>N50-O50</x:f>
        <x:v>3943.1080000000006</x:v>
      </x:c>
      <x:c r="Q50" s="190" t="n">
        <x:v>33582.03192177553</x:v>
      </x:c>
    </x:row>
    <x:row r="51" ht="15">
      <x:c r="A51" s="187" t="str">
        <x:v>ZOM-0047</x:v>
      </x:c>
      <x:c r="B51" s="188" t="n">
        <x:v>45704</x:v>
      </x:c>
      <x:c r="C51" s="234" t="str">
        <x:v>North</x:v>
      </x:c>
      <x:c r="D51" s="187" t="str">
        <x:v>Noida</x:v>
      </x:c>
      <x:c r="E51" s="187" t="str">
        <x:v>Pizza</x:v>
      </x:c>
      <x:c r="F51" s="187" t="str">
        <x:v>New User</x:v>
      </x:c>
      <x:c r="G51" s="187" t="str">
        <x:v>New User Customer 54</x:v>
      </x:c>
      <x:c r="H51" s="189" t="n">
        <x:v>87</x:v>
      </x:c>
      <x:c r="I51" s="190" t="n">
        <x:v>526</x:v>
      </x:c>
      <x:c r="J51" s="191" t="n">
        <x:v>0.09</x:v>
      </x:c>
      <x:c r="K51" s="190" t="n">
        <x:f>H51*I51</x:f>
        <x:v>45762</x:v>
      </x:c>
      <x:c r="L51" s="190" t="n">
        <x:f>K51*(1-J51)</x:f>
        <x:v>41643.42</x:v>
      </x:c>
      <x:c r="M51" s="190" t="n">
        <x:f>L51*(0.74-IF(E51="Healthy",0.04,IF(E51="Beverages",0.06,IF(E51="Desserts",0.05,IF(E51="North Indian",0.01,0)))))</x:f>
        <x:v>30816.1308</x:v>
      </x:c>
      <x:c r="N51" s="190" t="n">
        <x:f>L51-M51</x:f>
        <x:v>10827.2892</x:v>
      </x:c>
      <x:c r="O51" s="190" t="n">
        <x:f>L51*0.13</x:f>
        <x:v>5413.6446</x:v>
      </x:c>
      <x:c r="P51" s="190" t="n">
        <x:f>N51-O51</x:f>
        <x:v>5413.6446</x:v>
      </x:c>
      <x:c r="Q51" s="190" t="n">
        <x:v>41954.57485649168</x:v>
      </x:c>
    </x:row>
    <x:row r="52" ht="15">
      <x:c r="A52" s="187" t="str">
        <x:v>ZOM-0048</x:v>
      </x:c>
      <x:c r="B52" s="188" t="n">
        <x:v>45705</x:v>
      </x:c>
      <x:c r="C52" s="234" t="str">
        <x:v>West</x:v>
      </x:c>
      <x:c r="D52" s="187" t="str">
        <x:v>Nagpur</x:v>
      </x:c>
      <x:c r="E52" s="187" t="str">
        <x:v>Snacks</x:v>
      </x:c>
      <x:c r="F52" s="187" t="str">
        <x:v>New User</x:v>
      </x:c>
      <x:c r="G52" s="187" t="str">
        <x:v>New User Customer 58</x:v>
      </x:c>
      <x:c r="H52" s="189" t="n">
        <x:v>141</x:v>
      </x:c>
      <x:c r="I52" s="190" t="n">
        <x:v>236</x:v>
      </x:c>
      <x:c r="J52" s="191" t="n">
        <x:v>0.06</x:v>
      </x:c>
      <x:c r="K52" s="190" t="n">
        <x:f>H52*I52</x:f>
        <x:v>33276</x:v>
      </x:c>
      <x:c r="L52" s="190" t="n">
        <x:f>K52*(1-J52)</x:f>
        <x:v>31279.44</x:v>
      </x:c>
      <x:c r="M52" s="190" t="n">
        <x:f>L52*(0.74-IF(E52="Healthy",0.04,IF(E52="Beverages",0.06,IF(E52="Desserts",0.05,IF(E52="North Indian",0.01,0)))))</x:f>
        <x:v>23146.7856</x:v>
      </x:c>
      <x:c r="N52" s="190" t="n">
        <x:f>L52-M52</x:f>
        <x:v>8132.654399999999</x:v>
      </x:c>
      <x:c r="O52" s="190" t="n">
        <x:f>L52*0.13</x:f>
        <x:v>4066.3272</x:v>
      </x:c>
      <x:c r="P52" s="190" t="n">
        <x:f>N52-O52</x:f>
        <x:v>4066.3271999999993</x:v>
      </x:c>
      <x:c r="Q52" s="190" t="n">
        <x:v>32743.267675069223</x:v>
      </x:c>
    </x:row>
    <x:row r="53" ht="15">
      <x:c r="A53" s="187" t="str">
        <x:v>ZOM-0049</x:v>
      </x:c>
      <x:c r="B53" s="188" t="n">
        <x:v>45706</x:v>
      </x:c>
      <x:c r="C53" s="234" t="str">
        <x:v>Metro</x:v>
      </x:c>
      <x:c r="D53" s="187" t="str">
        <x:v>Hyderabad</x:v>
      </x:c>
      <x:c r="E53" s="187" t="str">
        <x:v>Chinese</x:v>
      </x:c>
      <x:c r="F53" s="187" t="str">
        <x:v>Budget</x:v>
      </x:c>
      <x:c r="G53" s="187" t="str">
        <x:v>Budget Customer 22</x:v>
      </x:c>
      <x:c r="H53" s="189" t="n">
        <x:v>129</x:v>
      </x:c>
      <x:c r="I53" s="190" t="n">
        <x:v>531</x:v>
      </x:c>
      <x:c r="J53" s="191" t="n">
        <x:v>0.11</x:v>
      </x:c>
      <x:c r="K53" s="190" t="n">
        <x:f>H53*I53</x:f>
        <x:v>68499</x:v>
      </x:c>
      <x:c r="L53" s="190" t="n">
        <x:f>K53*(1-J53)</x:f>
        <x:v>60964.11</x:v>
      </x:c>
      <x:c r="M53" s="190" t="n">
        <x:f>L53*(0.74-IF(E53="Healthy",0.04,IF(E53="Beverages",0.06,IF(E53="Desserts",0.05,IF(E53="North Indian",0.01,0)))))</x:f>
        <x:v>45113.4414</x:v>
      </x:c>
      <x:c r="N53" s="190" t="n">
        <x:f>L53-M53</x:f>
        <x:v>15850.668599999997</x:v>
      </x:c>
      <x:c r="O53" s="190" t="n">
        <x:f>L53*0.13</x:f>
        <x:v>7925.3343</x:v>
      </x:c>
      <x:c r="P53" s="190" t="n">
        <x:f>N53-O53</x:f>
        <x:v>7925.334299999997</x:v>
      </x:c>
      <x:c r="Q53" s="190" t="n">
        <x:v>61176.44667791542</x:v>
      </x:c>
    </x:row>
    <x:row r="54" ht="15">
      <x:c r="A54" s="187" t="str">
        <x:v>ZOM-0050</x:v>
      </x:c>
      <x:c r="B54" s="188" t="n">
        <x:v>45707</x:v>
      </x:c>
      <x:c r="C54" s="234" t="str">
        <x:v>East</x:v>
      </x:c>
      <x:c r="D54" s="187" t="str">
        <x:v>Ranchi</x:v>
      </x:c>
      <x:c r="E54" s="187" t="str">
        <x:v>Desserts</x:v>
      </x:c>
      <x:c r="F54" s="187" t="str">
        <x:v>Student</x:v>
      </x:c>
      <x:c r="G54" s="187" t="str">
        <x:v>Student Customer 06</x:v>
      </x:c>
      <x:c r="H54" s="189" t="n">
        <x:v>57</x:v>
      </x:c>
      <x:c r="I54" s="190" t="n">
        <x:v>348</x:v>
      </x:c>
      <x:c r="J54" s="191" t="n">
        <x:v>0.09999999999999999</x:v>
      </x:c>
      <x:c r="K54" s="190" t="n">
        <x:f>H54*I54</x:f>
        <x:v>19836</x:v>
      </x:c>
      <x:c r="L54" s="190" t="n">
        <x:f>K54*(1-J54)</x:f>
        <x:v>17852.4</x:v>
      </x:c>
      <x:c r="M54" s="190" t="n">
        <x:f>L54*(0.74-IF(E54="Healthy",0.04,IF(E54="Beverages",0.06,IF(E54="Desserts",0.05,IF(E54="North Indian",0.01,0)))))</x:f>
        <x:v>12318.156</x:v>
      </x:c>
      <x:c r="N54" s="190" t="n">
        <x:f>L54-M54</x:f>
        <x:v>5534.244000000001</x:v>
      </x:c>
      <x:c r="O54" s="190" t="n">
        <x:f>L54*0.13</x:f>
        <x:v>2320.8120000000004</x:v>
      </x:c>
      <x:c r="P54" s="190" t="n">
        <x:f>N54-O54</x:f>
        <x:v>3213.4320000000002</x:v>
      </x:c>
      <x:c r="Q54" s="190" t="n">
        <x:v>19272.736423073027</x:v>
      </x:c>
    </x:row>
    <x:row r="55" ht="15">
      <x:c r="A55" s="187" t="str">
        <x:v>ZOM-0051</x:v>
      </x:c>
      <x:c r="B55" s="188" t="n">
        <x:v>45708</x:v>
      </x:c>
      <x:c r="C55" s="234" t="str">
        <x:v>East</x:v>
      </x:c>
      <x:c r="D55" s="187" t="str">
        <x:v>Bhubaneswar</x:v>
      </x:c>
      <x:c r="E55" s="187" t="str">
        <x:v>Beverages</x:v>
      </x:c>
      <x:c r="F55" s="187" t="str">
        <x:v>Repeat User</x:v>
      </x:c>
      <x:c r="G55" s="187" t="str">
        <x:v>Repeat User Customer 18</x:v>
      </x:c>
      <x:c r="H55" s="189" t="n">
        <x:v>89</x:v>
      </x:c>
      <x:c r="I55" s="190" t="n">
        <x:v>216</x:v>
      </x:c>
      <x:c r="J55" s="191" t="n">
        <x:v>0.05</x:v>
      </x:c>
      <x:c r="K55" s="190" t="n">
        <x:f>H55*I55</x:f>
        <x:v>19224</x:v>
      </x:c>
      <x:c r="L55" s="190" t="n">
        <x:f>K55*(1-J55)</x:f>
        <x:v>18262.8</x:v>
      </x:c>
      <x:c r="M55" s="190" t="n">
        <x:f>L55*(0.74-IF(E55="Healthy",0.04,IF(E55="Beverages",0.06,IF(E55="Desserts",0.05,IF(E55="North Indian",0.01,0)))))</x:f>
        <x:v>12418.703999999998</x:v>
      </x:c>
      <x:c r="N55" s="190" t="n">
        <x:f>L55-M55</x:f>
        <x:v>5844.096000000001</x:v>
      </x:c>
      <x:c r="O55" s="190" t="n">
        <x:f>L55*0.13</x:f>
        <x:v>2374.1639999999998</x:v>
      </x:c>
      <x:c r="P55" s="190" t="n">
        <x:f>N55-O55</x:f>
        <x:v>3469.9320000000016</x:v>
      </x:c>
      <x:c r="Q55" s="190" t="n">
        <x:v>20190.56269636265</x:v>
      </x:c>
    </x:row>
    <x:row r="56" ht="15">
      <x:c r="A56" s="187" t="str">
        <x:v>ZOM-0052</x:v>
      </x:c>
      <x:c r="B56" s="188" t="n">
        <x:v>45709</x:v>
      </x:c>
      <x:c r="C56" s="234" t="str">
        <x:v>Central</x:v>
      </x:c>
      <x:c r="D56" s="187" t="str">
        <x:v>Kanpur</x:v>
      </x:c>
      <x:c r="E56" s="187" t="str">
        <x:v>Biryani</x:v>
      </x:c>
      <x:c r="F56" s="187" t="str">
        <x:v>New User</x:v>
      </x:c>
      <x:c r="G56" s="187" t="str">
        <x:v>New User Customer 50</x:v>
      </x:c>
      <x:c r="H56" s="189" t="n">
        <x:v>56</x:v>
      </x:c>
      <x:c r="I56" s="190" t="n">
        <x:v>525</x:v>
      </x:c>
      <x:c r="J56" s="191" t="n">
        <x:v>0.06</x:v>
      </x:c>
      <x:c r="K56" s="190" t="n">
        <x:f>H56*I56</x:f>
        <x:v>29400</x:v>
      </x:c>
      <x:c r="L56" s="190" t="n">
        <x:f>K56*(1-J56)</x:f>
        <x:v>27636</x:v>
      </x:c>
      <x:c r="M56" s="190" t="n">
        <x:f>L56*(0.74-IF(E56="Healthy",0.04,IF(E56="Beverages",0.06,IF(E56="Desserts",0.05,IF(E56="North Indian",0.01,0)))))</x:f>
        <x:v>20450.64</x:v>
      </x:c>
      <x:c r="N56" s="190" t="n">
        <x:f>L56-M56</x:f>
        <x:v>7185.360000000001</x:v>
      </x:c>
      <x:c r="O56" s="190" t="n">
        <x:f>L56*0.13</x:f>
        <x:v>3592.6800000000003</x:v>
      </x:c>
      <x:c r="P56" s="190" t="n">
        <x:f>N56-O56</x:f>
        <x:v>3592.6800000000003</x:v>
      </x:c>
      <x:c r="Q56" s="190" t="n">
        <x:v>29792.085859326427</x:v>
      </x:c>
    </x:row>
    <x:row r="57" ht="15">
      <x:c r="A57" s="187" t="str">
        <x:v>ZOM-0053</x:v>
      </x:c>
      <x:c r="B57" s="188" t="n">
        <x:v>45710</x:v>
      </x:c>
      <x:c r="C57" s="234" t="str">
        <x:v>Metro</x:v>
      </x:c>
      <x:c r="D57" s="187" t="str">
        <x:v>Delhi</x:v>
      </x:c>
      <x:c r="E57" s="187" t="str">
        <x:v>Desserts</x:v>
      </x:c>
      <x:c r="F57" s="187" t="str">
        <x:v>Student</x:v>
      </x:c>
      <x:c r="G57" s="187" t="str">
        <x:v>Student Customer 14</x:v>
      </x:c>
      <x:c r="H57" s="189" t="n">
        <x:v>80</x:v>
      </x:c>
      <x:c r="I57" s="190" t="n">
        <x:v>331</x:v>
      </x:c>
      <x:c r="J57" s="191" t="n">
        <x:v>0.12</x:v>
      </x:c>
      <x:c r="K57" s="190" t="n">
        <x:f>H57*I57</x:f>
        <x:v>26480</x:v>
      </x:c>
      <x:c r="L57" s="190" t="n">
        <x:f>K57*(1-J57)</x:f>
        <x:v>23302.4</x:v>
      </x:c>
      <x:c r="M57" s="190" t="n">
        <x:f>L57*(0.74-IF(E57="Healthy",0.04,IF(E57="Beverages",0.06,IF(E57="Desserts",0.05,IF(E57="North Indian",0.01,0)))))</x:f>
        <x:v>16078.655999999999</x:v>
      </x:c>
      <x:c r="N57" s="190" t="n">
        <x:f>L57-M57</x:f>
        <x:v>7223.744000000002</x:v>
      </x:c>
      <x:c r="O57" s="190" t="n">
        <x:f>L57*0.13</x:f>
        <x:v>3029.3120000000004</x:v>
      </x:c>
      <x:c r="P57" s="190" t="n">
        <x:f>N57-O57</x:f>
        <x:v>4194.4320000000025</x:v>
      </x:c>
      <x:c r="Q57" s="190" t="n">
        <x:v>23622.265835482103</x:v>
      </x:c>
    </x:row>
    <x:row r="58" ht="15">
      <x:c r="A58" s="187" t="str">
        <x:v>ZOM-0054</x:v>
      </x:c>
      <x:c r="B58" s="188" t="n">
        <x:v>45711</x:v>
      </x:c>
      <x:c r="C58" s="234" t="str">
        <x:v>West</x:v>
      </x:c>
      <x:c r="D58" s="187" t="str">
        <x:v>Ahmedabad</x:v>
      </x:c>
      <x:c r="E58" s="187" t="str">
        <x:v>Desserts</x:v>
      </x:c>
      <x:c r="F58" s="187" t="str">
        <x:v>New User</x:v>
      </x:c>
      <x:c r="G58" s="187" t="str">
        <x:v>New User Customer 38</x:v>
      </x:c>
      <x:c r="H58" s="189" t="n">
        <x:v>145</x:v>
      </x:c>
      <x:c r="I58" s="190" t="n">
        <x:v>346</x:v>
      </x:c>
      <x:c r="J58" s="191" t="n">
        <x:v>0.06</x:v>
      </x:c>
      <x:c r="K58" s="190" t="n">
        <x:f>H58*I58</x:f>
        <x:v>50170</x:v>
      </x:c>
      <x:c r="L58" s="190" t="n">
        <x:f>K58*(1-J58)</x:f>
        <x:v>47159.799999999996</x:v>
      </x:c>
      <x:c r="M58" s="190" t="n">
        <x:f>L58*(0.74-IF(E58="Healthy",0.04,IF(E58="Beverages",0.06,IF(E58="Desserts",0.05,IF(E58="North Indian",0.01,0)))))</x:f>
        <x:v>32540.261999999995</x:v>
      </x:c>
      <x:c r="N58" s="190" t="n">
        <x:f>L58-M58</x:f>
        <x:v>14619.538</x:v>
      </x:c>
      <x:c r="O58" s="190" t="n">
        <x:f>L58*0.13</x:f>
        <x:v>6130.773999999999</x:v>
      </x:c>
      <x:c r="P58" s="190" t="n">
        <x:f>N58-O58</x:f>
        <x:v>8488.764000000001</x:v>
      </x:c>
      <x:c r="Q58" s="190" t="n">
        <x:v>48920.023988858324</x:v>
      </x:c>
    </x:row>
    <x:row r="59" ht="15">
      <x:c r="A59" s="187" t="str">
        <x:v>ZOM-0055</x:v>
      </x:c>
      <x:c r="B59" s="188" t="n">
        <x:v>45712</x:v>
      </x:c>
      <x:c r="C59" s="234" t="str">
        <x:v>North</x:v>
      </x:c>
      <x:c r="D59" s="187" t="str">
        <x:v>Gurugram</x:v>
      </x:c>
      <x:c r="E59" s="187" t="str">
        <x:v>Chinese</x:v>
      </x:c>
      <x:c r="F59" s="187" t="str">
        <x:v>Student</x:v>
      </x:c>
      <x:c r="G59" s="187" t="str">
        <x:v>Student Customer 07</x:v>
      </x:c>
      <x:c r="H59" s="189" t="n">
        <x:v>87</x:v>
      </x:c>
      <x:c r="I59" s="190" t="n">
        <x:v>436</x:v>
      </x:c>
      <x:c r="J59" s="191" t="n">
        <x:v>0.12</x:v>
      </x:c>
      <x:c r="K59" s="190" t="n">
        <x:f>H59*I59</x:f>
        <x:v>37932</x:v>
      </x:c>
      <x:c r="L59" s="190" t="n">
        <x:f>K59*(1-J59)</x:f>
        <x:v>33380.16</x:v>
      </x:c>
      <x:c r="M59" s="190" t="n">
        <x:f>L59*(0.74-IF(E59="Healthy",0.04,IF(E59="Beverages",0.06,IF(E59="Desserts",0.05,IF(E59="North Indian",0.01,0)))))</x:f>
        <x:v>24701.318400000004</x:v>
      </x:c>
      <x:c r="N59" s="190" t="n">
        <x:f>L59-M59</x:f>
        <x:v>8678.8416</x:v>
      </x:c>
      <x:c r="O59" s="190" t="n">
        <x:f>L59*0.13</x:f>
        <x:v>4339.420800000001</x:v>
      </x:c>
      <x:c r="P59" s="190" t="n">
        <x:f>N59-O59</x:f>
        <x:v>4339.420799999999</x:v>
      </x:c>
      <x:c r="Q59" s="190" t="n">
        <x:v>35892.65418287354</x:v>
      </x:c>
    </x:row>
    <x:row r="60" ht="15">
      <x:c r="A60" s="187" t="str">
        <x:v>ZOM-0056</x:v>
      </x:c>
      <x:c r="B60" s="188" t="n">
        <x:v>45713</x:v>
      </x:c>
      <x:c r="C60" s="234" t="str">
        <x:v>East</x:v>
      </x:c>
      <x:c r="D60" s="187" t="str">
        <x:v>Patna</x:v>
      </x:c>
      <x:c r="E60" s="187" t="str">
        <x:v>Healthy</x:v>
      </x:c>
      <x:c r="F60" s="187" t="str">
        <x:v>Corporate</x:v>
      </x:c>
      <x:c r="G60" s="187" t="str">
        <x:v>Corporate Customer 33</x:v>
      </x:c>
      <x:c r="H60" s="189" t="n">
        <x:v>84</x:v>
      </x:c>
      <x:c r="I60" s="190" t="n">
        <x:v>453</x:v>
      </x:c>
      <x:c r="J60" s="191" t="n">
        <x:v>0</x:v>
      </x:c>
      <x:c r="K60" s="190" t="n">
        <x:f>H60*I60</x:f>
        <x:v>38052</x:v>
      </x:c>
      <x:c r="L60" s="190" t="n">
        <x:f>K60*(1-J60)</x:f>
        <x:v>38052</x:v>
      </x:c>
      <x:c r="M60" s="190" t="n">
        <x:f>L60*(0.74-IF(E60="Healthy",0.04,IF(E60="Beverages",0.06,IF(E60="Desserts",0.05,IF(E60="North Indian",0.01,0)))))</x:f>
        <x:v>26636.399999999998</x:v>
      </x:c>
      <x:c r="N60" s="190" t="n">
        <x:f>L60-M60</x:f>
        <x:v>11415.600000000002</x:v>
      </x:c>
      <x:c r="O60" s="190" t="n">
        <x:f>L60*0.13</x:f>
        <x:v>4946.76</x:v>
      </x:c>
      <x:c r="P60" s="190" t="n">
        <x:f>N60-O60</x:f>
        <x:v>6468.840000000002</x:v>
      </x:c>
      <x:c r="Q60" s="190" t="n">
        <x:v>39744.11555782194</x:v>
      </x:c>
    </x:row>
    <x:row r="61">
      <x:c r="A61" s="192" t="str">
        <x:v>ZOM-0057</x:v>
      </x:c>
      <x:c r="B61" s="193" t="n">
        <x:v>45714</x:v>
      </x:c>
      <x:c r="C61" s="236" t="str">
        <x:v>East</x:v>
      </x:c>
      <x:c r="D61" s="192" t="str">
        <x:v>Kolkata</x:v>
      </x:c>
      <x:c r="E61" s="192" t="str">
        <x:v>Healthy</x:v>
      </x:c>
      <x:c r="F61" s="192" t="str">
        <x:v>Budget</x:v>
      </x:c>
      <x:c r="G61" s="192" t="str">
        <x:v>Budget Customer 28</x:v>
      </x:c>
      <x:c r="H61" s="194" t="n">
        <x:v>58</x:v>
      </x:c>
      <x:c r="I61" s="195" t="n">
        <x:v>393</x:v>
      </x:c>
      <x:c r="J61" s="196" t="n">
        <x:v>0.1</x:v>
      </x:c>
      <x:c r="K61" s="195" t="n">
        <x:f>H61*I61</x:f>
        <x:v>22794</x:v>
      </x:c>
      <x:c r="L61" s="195" t="n">
        <x:f>K61*(1-J61)</x:f>
        <x:v>20514.600000000002</x:v>
      </x:c>
      <x:c r="M61" s="195" t="n">
        <x:f>L61*(0.74-IF(E61="Healthy",0.04,IF(E61="Beverages",0.06,IF(E61="Desserts",0.05,IF(E61="North Indian",0.01,0)))))</x:f>
        <x:v>14360.220000000001</x:v>
      </x:c>
      <x:c r="N61" s="195" t="n">
        <x:f>L61-M61</x:f>
        <x:v>6154.380000000001</x:v>
      </x:c>
      <x:c r="O61" s="195" t="n">
        <x:f>L61*0.13</x:f>
        <x:v>2666.8980000000006</x:v>
      </x:c>
      <x:c r="P61" s="195" t="n">
        <x:f>N61-O61</x:f>
        <x:v>3487.4820000000004</x:v>
      </x:c>
      <x:c r="Q61" s="195" t="n">
        <x:v>22255.818468260728</x:v>
      </x:c>
    </x:row>
    <x:row r="62">
      <x:c r="A62" s="192" t="str">
        <x:v>ZOM-0058</x:v>
      </x:c>
      <x:c r="B62" s="193" t="n">
        <x:v>45715</x:v>
      </x:c>
      <x:c r="C62" s="236" t="str">
        <x:v>North</x:v>
      </x:c>
      <x:c r="D62" s="192" t="str">
        <x:v>Lucknow</x:v>
      </x:c>
      <x:c r="E62" s="192" t="str">
        <x:v>Snacks</x:v>
      </x:c>
      <x:c r="F62" s="192" t="str">
        <x:v>Repeat User</x:v>
      </x:c>
      <x:c r="G62" s="192" t="str">
        <x:v>Repeat User Customer 55</x:v>
      </x:c>
      <x:c r="H62" s="194" t="n">
        <x:v>132</x:v>
      </x:c>
      <x:c r="I62" s="195" t="n">
        <x:v>277</x:v>
      </x:c>
      <x:c r="J62" s="196" t="n">
        <x:v>0.060000000000000005</x:v>
      </x:c>
      <x:c r="K62" s="195" t="n">
        <x:f>H62*I62</x:f>
        <x:v>36564</x:v>
      </x:c>
      <x:c r="L62" s="195" t="n">
        <x:f>K62*(1-J62)</x:f>
        <x:v>34370.159999999996</x:v>
      </x:c>
      <x:c r="M62" s="195" t="n">
        <x:f>L62*(0.74-IF(E62="Healthy",0.04,IF(E62="Beverages",0.06,IF(E62="Desserts",0.05,IF(E62="North Indian",0.01,0)))))</x:f>
        <x:v>25433.9184</x:v>
      </x:c>
      <x:c r="N62" s="195" t="n">
        <x:f>L62-M62</x:f>
        <x:v>8936.241599999998</x:v>
      </x:c>
      <x:c r="O62" s="195" t="n">
        <x:f>L62*0.13</x:f>
        <x:v>4468.1208</x:v>
      </x:c>
      <x:c r="P62" s="195" t="n">
        <x:f>N62-O62</x:f>
        <x:v>4468.120799999998</x:v>
      </x:c>
      <x:c r="Q62" s="195" t="n">
        <x:v>35477.135710324554</x:v>
      </x:c>
    </x:row>
    <x:row r="63">
      <x:c r="A63" s="192" t="str">
        <x:v>ZOM-0059</x:v>
      </x:c>
      <x:c r="B63" s="193" t="n">
        <x:v>45716</x:v>
      </x:c>
      <x:c r="C63" s="236" t="str">
        <x:v>South</x:v>
      </x:c>
      <x:c r="D63" s="192" t="str">
        <x:v>Bengaluru</x:v>
      </x:c>
      <x:c r="E63" s="192" t="str">
        <x:v>Pizza</x:v>
      </x:c>
      <x:c r="F63" s="192" t="str">
        <x:v>Gold User</x:v>
      </x:c>
      <x:c r="G63" s="192" t="str">
        <x:v>Gold User Customer 32</x:v>
      </x:c>
      <x:c r="H63" s="194" t="n">
        <x:v>145</x:v>
      </x:c>
      <x:c r="I63" s="195" t="n">
        <x:v>660</x:v>
      </x:c>
      <x:c r="J63" s="196" t="n">
        <x:v>0.04</x:v>
      </x:c>
      <x:c r="K63" s="195" t="n">
        <x:f>H63*I63</x:f>
        <x:v>95700</x:v>
      </x:c>
      <x:c r="L63" s="195" t="n">
        <x:f>K63*(1-J63)</x:f>
        <x:v>91872</x:v>
      </x:c>
      <x:c r="M63" s="195" t="n">
        <x:f>L63*(0.74-IF(E63="Healthy",0.04,IF(E63="Beverages",0.06,IF(E63="Desserts",0.05,IF(E63="North Indian",0.01,0)))))</x:f>
        <x:v>67985.28</x:v>
      </x:c>
      <x:c r="N63" s="195" t="n">
        <x:f>L63-M63</x:f>
        <x:v>23886.72</x:v>
      </x:c>
      <x:c r="O63" s="195" t="n">
        <x:f>L63*0.13</x:f>
        <x:v>11943.36</x:v>
      </x:c>
      <x:c r="P63" s="195" t="n">
        <x:f>N63-O63</x:f>
        <x:v>11943.36</x:v>
      </x:c>
      <x:c r="Q63" s="195" t="n">
        <x:v>95455.16419587313</x:v>
      </x:c>
    </x:row>
    <x:row r="64">
      <x:c r="A64" s="192" t="str">
        <x:v>ZOM-0060</x:v>
      </x:c>
      <x:c r="B64" s="193" t="n">
        <x:v>45717</x:v>
      </x:c>
      <x:c r="C64" s="236" t="str">
        <x:v>South</x:v>
      </x:c>
      <x:c r="D64" s="192" t="str">
        <x:v>Chennai</x:v>
      </x:c>
      <x:c r="E64" s="192" t="str">
        <x:v>Pizza</x:v>
      </x:c>
      <x:c r="F64" s="192" t="str">
        <x:v>Student</x:v>
      </x:c>
      <x:c r="G64" s="192" t="str">
        <x:v>Student Customer 49</x:v>
      </x:c>
      <x:c r="H64" s="194" t="n">
        <x:v>87</x:v>
      </x:c>
      <x:c r="I64" s="195" t="n">
        <x:v>657</x:v>
      </x:c>
      <x:c r="J64" s="196" t="n">
        <x:v>0.12</x:v>
      </x:c>
      <x:c r="K64" s="195" t="n">
        <x:f>H64*I64</x:f>
        <x:v>57159</x:v>
      </x:c>
      <x:c r="L64" s="195" t="n">
        <x:f>K64*(1-J64)</x:f>
        <x:v>50299.92</x:v>
      </x:c>
      <x:c r="M64" s="195" t="n">
        <x:f>L64*(0.74-IF(E64="Healthy",0.04,IF(E64="Beverages",0.06,IF(E64="Desserts",0.05,IF(E64="North Indian",0.01,0)))))</x:f>
        <x:v>37221.9408</x:v>
      </x:c>
      <x:c r="N64" s="195" t="n">
        <x:f>L64-M64</x:f>
        <x:v>13077.979200000002</x:v>
      </x:c>
      <x:c r="O64" s="195" t="n">
        <x:f>L64*0.13</x:f>
        <x:v>6538.9896</x:v>
      </x:c>
      <x:c r="P64" s="195" t="n">
        <x:f>N64-O64</x:f>
        <x:v>6538.989600000002</x:v>
      </x:c>
      <x:c r="Q64" s="195" t="n">
        <x:v>53248.971193231955</x:v>
      </x:c>
    </x:row>
    <x:row r="65">
      <x:c r="A65" s="192" t="str">
        <x:v>ZOM-0061</x:v>
      </x:c>
      <x:c r="B65" s="193" t="n">
        <x:v>45718</x:v>
      </x:c>
      <x:c r="C65" s="236" t="str">
        <x:v>South</x:v>
      </x:c>
      <x:c r="D65" s="192" t="str">
        <x:v>Kochi</x:v>
      </x:c>
      <x:c r="E65" s="192" t="str">
        <x:v>Burgers</x:v>
      </x:c>
      <x:c r="F65" s="192" t="str">
        <x:v>Gold User</x:v>
      </x:c>
      <x:c r="G65" s="192" t="str">
        <x:v>Gold User Customer 24</x:v>
      </x:c>
      <x:c r="H65" s="194" t="n">
        <x:v>86</x:v>
      </x:c>
      <x:c r="I65" s="195" t="n">
        <x:v>353</x:v>
      </x:c>
      <x:c r="J65" s="196" t="n">
        <x:v>0.03</x:v>
      </x:c>
      <x:c r="K65" s="195" t="n">
        <x:f>H65*I65</x:f>
        <x:v>30358</x:v>
      </x:c>
      <x:c r="L65" s="195" t="n">
        <x:f>K65*(1-J65)</x:f>
        <x:v>29447.26</x:v>
      </x:c>
      <x:c r="M65" s="195" t="n">
        <x:f>L65*(0.74-IF(E65="Healthy",0.04,IF(E65="Beverages",0.06,IF(E65="Desserts",0.05,IF(E65="North Indian",0.01,0)))))</x:f>
        <x:v>21790.9724</x:v>
      </x:c>
      <x:c r="N65" s="195" t="n">
        <x:f>L65-M65</x:f>
        <x:v>7656.2876</x:v>
      </x:c>
      <x:c r="O65" s="195" t="n">
        <x:f>L65*0.13</x:f>
        <x:v>3828.1438</x:v>
      </x:c>
      <x:c r="P65" s="195" t="n">
        <x:f>N65-O65</x:f>
        <x:v>3828.1438</x:v>
      </x:c>
      <x:c r="Q65" s="195" t="n">
        <x:v>31793.47640626805</x:v>
      </x:c>
    </x:row>
    <x:row r="66">
      <x:c r="A66" s="192" t="str">
        <x:v>ZOM-0062</x:v>
      </x:c>
      <x:c r="B66" s="193" t="n">
        <x:v>45719</x:v>
      </x:c>
      <x:c r="C66" s="236" t="str">
        <x:v>West</x:v>
      </x:c>
      <x:c r="D66" s="192" t="str">
        <x:v>Nagpur</x:v>
      </x:c>
      <x:c r="E66" s="192" t="str">
        <x:v>Pizza</x:v>
      </x:c>
      <x:c r="F66" s="192" t="str">
        <x:v>Student</x:v>
      </x:c>
      <x:c r="G66" s="192" t="str">
        <x:v>Student Customer 13</x:v>
      </x:c>
      <x:c r="H66" s="194" t="n">
        <x:v>120</x:v>
      </x:c>
      <x:c r="I66" s="195" t="n">
        <x:v>597</x:v>
      </x:c>
      <x:c r="J66" s="196" t="n">
        <x:v>0.13</x:v>
      </x:c>
      <x:c r="K66" s="195" t="n">
        <x:f>H66*I66</x:f>
        <x:v>71640</x:v>
      </x:c>
      <x:c r="L66" s="195" t="n">
        <x:f>K66*(1-J66)</x:f>
        <x:v>62326.8</x:v>
      </x:c>
      <x:c r="M66" s="195" t="n">
        <x:f>L66*(0.74-IF(E66="Healthy",0.04,IF(E66="Beverages",0.06,IF(E66="Desserts",0.05,IF(E66="North Indian",0.01,0)))))</x:f>
        <x:v>46121.832</x:v>
      </x:c>
      <x:c r="N66" s="195" t="n">
        <x:f>L66-M66</x:f>
        <x:v>16204.968</x:v>
      </x:c>
      <x:c r="O66" s="195" t="n">
        <x:f>L66*0.13</x:f>
        <x:v>8102.484</x:v>
      </x:c>
      <x:c r="P66" s="195" t="n">
        <x:f>N66-O66</x:f>
        <x:v>8102.484</x:v>
      </x:c>
      <x:c r="Q66" s="195" t="n">
        <x:v>63229.211423733606</x:v>
      </x:c>
    </x:row>
    <x:row r="67">
      <x:c r="A67" s="192" t="str">
        <x:v>ZOM-0063</x:v>
      </x:c>
      <x:c r="B67" s="193" t="n">
        <x:v>45720</x:v>
      </x:c>
      <x:c r="C67" s="236" t="str">
        <x:v>South</x:v>
      </x:c>
      <x:c r="D67" s="192" t="str">
        <x:v>Coimbatore</x:v>
      </x:c>
      <x:c r="E67" s="192" t="str">
        <x:v>Snacks</x:v>
      </x:c>
      <x:c r="F67" s="192" t="str">
        <x:v>Budget</x:v>
      </x:c>
      <x:c r="G67" s="192" t="str">
        <x:v>Budget Customer 39</x:v>
      </x:c>
      <x:c r="H67" s="194" t="n">
        <x:v>82</x:v>
      </x:c>
      <x:c r="I67" s="195" t="n">
        <x:v>219</x:v>
      </x:c>
      <x:c r="J67" s="196" t="n">
        <x:v>0.11</x:v>
      </x:c>
      <x:c r="K67" s="195" t="n">
        <x:f>H67*I67</x:f>
        <x:v>17958</x:v>
      </x:c>
      <x:c r="L67" s="195" t="n">
        <x:f>K67*(1-J67)</x:f>
        <x:v>15982.62</x:v>
      </x:c>
      <x:c r="M67" s="195" t="n">
        <x:f>L67*(0.74-IF(E67="Healthy",0.04,IF(E67="Beverages",0.06,IF(E67="Desserts",0.05,IF(E67="North Indian",0.01,0)))))</x:f>
        <x:v>11827.1388</x:v>
      </x:c>
      <x:c r="N67" s="195" t="n">
        <x:f>L67-M67</x:f>
        <x:v>4155.4812</x:v>
      </x:c>
      <x:c r="O67" s="195" t="n">
        <x:f>L67*0.13</x:f>
        <x:v>2077.7406</x:v>
      </x:c>
      <x:c r="P67" s="195" t="n">
        <x:f>N67-O67</x:f>
        <x:v>2077.7406</x:v>
      </x:c>
      <x:c r="Q67" s="195" t="n">
        <x:v>17440.63366952973</x:v>
      </x:c>
    </x:row>
    <x:row r="68">
      <x:c r="A68" s="192" t="str">
        <x:v>ZOM-0064</x:v>
      </x:c>
      <x:c r="B68" s="193" t="n">
        <x:v>45721</x:v>
      </x:c>
      <x:c r="C68" s="236" t="str">
        <x:v>South</x:v>
      </x:c>
      <x:c r="D68" s="192" t="str">
        <x:v>Bengaluru</x:v>
      </x:c>
      <x:c r="E68" s="192" t="str">
        <x:v>Healthy</x:v>
      </x:c>
      <x:c r="F68" s="192" t="str">
        <x:v>Repeat User</x:v>
      </x:c>
      <x:c r="G68" s="192" t="str">
        <x:v>Repeat User Customer 04</x:v>
      </x:c>
      <x:c r="H68" s="194" t="n">
        <x:v>124</x:v>
      </x:c>
      <x:c r="I68" s="195" t="n">
        <x:v>350</x:v>
      </x:c>
      <x:c r="J68" s="196" t="n">
        <x:v>0.030000000000000002</x:v>
      </x:c>
      <x:c r="K68" s="195" t="n">
        <x:f>H68*I68</x:f>
        <x:v>43400</x:v>
      </x:c>
      <x:c r="L68" s="195" t="n">
        <x:f>K68*(1-J68)</x:f>
        <x:v>42098</x:v>
      </x:c>
      <x:c r="M68" s="195" t="n">
        <x:f>L68*(0.74-IF(E68="Healthy",0.04,IF(E68="Beverages",0.06,IF(E68="Desserts",0.05,IF(E68="North Indian",0.01,0)))))</x:f>
        <x:v>29468.6</x:v>
      </x:c>
      <x:c r="N68" s="195" t="n">
        <x:f>L68-M68</x:f>
        <x:v>12629.400000000001</x:v>
      </x:c>
      <x:c r="O68" s="195" t="n">
        <x:f>L68*0.13</x:f>
        <x:v>5472.74</x:v>
      </x:c>
      <x:c r="P68" s="195" t="n">
        <x:f>N68-O68</x:f>
        <x:v>7156.660000000002</x:v>
      </x:c>
      <x:c r="Q68" s="195" t="n">
        <x:v>42327.93439759899</x:v>
      </x:c>
    </x:row>
    <x:row r="69">
      <x:c r="A69" s="192" t="str">
        <x:v>ZOM-0065</x:v>
      </x:c>
      <x:c r="B69" s="193" t="n">
        <x:v>45722</x:v>
      </x:c>
      <x:c r="C69" s="236" t="str">
        <x:v>West</x:v>
      </x:c>
      <x:c r="D69" s="192" t="str">
        <x:v>Pune</x:v>
      </x:c>
      <x:c r="E69" s="192" t="str">
        <x:v>Burgers</x:v>
      </x:c>
      <x:c r="F69" s="192" t="str">
        <x:v>Budget</x:v>
      </x:c>
      <x:c r="G69" s="192" t="str">
        <x:v>Budget Customer 04</x:v>
      </x:c>
      <x:c r="H69" s="194" t="n">
        <x:v>75</x:v>
      </x:c>
      <x:c r="I69" s="195" t="n">
        <x:v>490</x:v>
      </x:c>
      <x:c r="J69" s="196" t="n">
        <x:v>0.1</x:v>
      </x:c>
      <x:c r="K69" s="195" t="n">
        <x:f>H69*I69</x:f>
        <x:v>36750</x:v>
      </x:c>
      <x:c r="L69" s="195" t="n">
        <x:f>K69*(1-J69)</x:f>
        <x:v>33075</x:v>
      </x:c>
      <x:c r="M69" s="195" t="n">
        <x:f>L69*(0.74-IF(E69="Healthy",0.04,IF(E69="Beverages",0.06,IF(E69="Desserts",0.05,IF(E69="North Indian",0.01,0)))))</x:f>
        <x:v>24475.5</x:v>
      </x:c>
      <x:c r="N69" s="195" t="n">
        <x:f>L69-M69</x:f>
        <x:v>8599.5</x:v>
      </x:c>
      <x:c r="O69" s="195" t="n">
        <x:f>L69*0.13</x:f>
        <x:v>4299.75</x:v>
      </x:c>
      <x:c r="P69" s="195" t="n">
        <x:f>N69-O69</x:f>
        <x:v>4299.75</x:v>
      </x:c>
      <x:c r="Q69" s="195" t="n">
        <x:v>33806.73940777824</x:v>
      </x:c>
    </x:row>
    <x:row r="70">
      <x:c r="A70" s="192" t="str">
        <x:v>ZOM-0066</x:v>
      </x:c>
      <x:c r="B70" s="193" t="n">
        <x:v>45723</x:v>
      </x:c>
      <x:c r="C70" s="236" t="str">
        <x:v>South</x:v>
      </x:c>
      <x:c r="D70" s="192" t="str">
        <x:v>Kochi</x:v>
      </x:c>
      <x:c r="E70" s="192" t="str">
        <x:v>North Indian</x:v>
      </x:c>
      <x:c r="F70" s="192" t="str">
        <x:v>New User</x:v>
      </x:c>
      <x:c r="G70" s="192" t="str">
        <x:v>New User Customer 06</x:v>
      </x:c>
      <x:c r="H70" s="194" t="n">
        <x:v>133</x:v>
      </x:c>
      <x:c r="I70" s="195" t="n">
        <x:v>443</x:v>
      </x:c>
      <x:c r="J70" s="196" t="n">
        <x:v>0.06</x:v>
      </x:c>
      <x:c r="K70" s="195" t="n">
        <x:f>H70*I70</x:f>
        <x:v>58919</x:v>
      </x:c>
      <x:c r="L70" s="195" t="n">
        <x:f>K70*(1-J70)</x:f>
        <x:v>55383.85999999999</x:v>
      </x:c>
      <x:c r="M70" s="195" t="n">
        <x:f>L70*(0.74-IF(E70="Healthy",0.04,IF(E70="Beverages",0.06,IF(E70="Desserts",0.05,IF(E70="North Indian",0.01,0)))))</x:f>
        <x:v>40430.21779999999</x:v>
      </x:c>
      <x:c r="N70" s="195" t="n">
        <x:f>L70-M70</x:f>
        <x:v>14953.642200000002</x:v>
      </x:c>
      <x:c r="O70" s="195" t="n">
        <x:f>L70*0.13</x:f>
        <x:v>7199.9018</x:v>
      </x:c>
      <x:c r="P70" s="195" t="n">
        <x:f>N70-O70</x:f>
        <x:v>7753.740400000002</x:v>
      </x:c>
      <x:c r="Q70" s="195" t="n">
        <x:v>61691.809003852075</x:v>
      </x:c>
    </x:row>
    <x:row r="71">
      <x:c r="A71" s="192" t="str">
        <x:v>ZOM-0067</x:v>
      </x:c>
      <x:c r="B71" s="193" t="n">
        <x:v>45724</x:v>
      </x:c>
      <x:c r="C71" s="236" t="str">
        <x:v>Metro</x:v>
      </x:c>
      <x:c r="D71" s="192" t="str">
        <x:v>Delhi</x:v>
      </x:c>
      <x:c r="E71" s="192" t="str">
        <x:v>Chinese</x:v>
      </x:c>
      <x:c r="F71" s="192" t="str">
        <x:v>Repeat User</x:v>
      </x:c>
      <x:c r="G71" s="192" t="str">
        <x:v>Repeat User Customer 20</x:v>
      </x:c>
      <x:c r="H71" s="194" t="n">
        <x:v>168</x:v>
      </x:c>
      <x:c r="I71" s="195" t="n">
        <x:v>510</x:v>
      </x:c>
      <x:c r="J71" s="196" t="n">
        <x:v>0.05</x:v>
      </x:c>
      <x:c r="K71" s="195" t="n">
        <x:f>H71*I71</x:f>
        <x:v>85680</x:v>
      </x:c>
      <x:c r="L71" s="195" t="n">
        <x:f>K71*(1-J71)</x:f>
        <x:v>81396</x:v>
      </x:c>
      <x:c r="M71" s="195" t="n">
        <x:f>L71*(0.74-IF(E71="Healthy",0.04,IF(E71="Beverages",0.06,IF(E71="Desserts",0.05,IF(E71="North Indian",0.01,0)))))</x:f>
        <x:v>60233.04</x:v>
      </x:c>
      <x:c r="N71" s="195" t="n">
        <x:f>L71-M71</x:f>
        <x:v>21162.96</x:v>
      </x:c>
      <x:c r="O71" s="195" t="n">
        <x:f>L71*0.13</x:f>
        <x:v>10581.48</x:v>
      </x:c>
      <x:c r="P71" s="195" t="n">
        <x:f>N71-O71</x:f>
        <x:v>10581.48</x:v>
      </x:c>
      <x:c r="Q71" s="195" t="n">
        <x:v>90269.83467852807</x:v>
      </x:c>
    </x:row>
    <x:row r="72">
      <x:c r="A72" s="192" t="str">
        <x:v>ZOM-0068</x:v>
      </x:c>
      <x:c r="B72" s="193" t="n">
        <x:v>45725</x:v>
      </x:c>
      <x:c r="C72" s="236" t="str">
        <x:v>Metro</x:v>
      </x:c>
      <x:c r="D72" s="192" t="str">
        <x:v>Hyderabad</x:v>
      </x:c>
      <x:c r="E72" s="192" t="str">
        <x:v>Pizza</x:v>
      </x:c>
      <x:c r="F72" s="192" t="str">
        <x:v>Corporate</x:v>
      </x:c>
      <x:c r="G72" s="192" t="str">
        <x:v>Corporate Customer 43</x:v>
      </x:c>
      <x:c r="H72" s="194" t="n">
        <x:v>196</x:v>
      </x:c>
      <x:c r="I72" s="195" t="n">
        <x:v>764</x:v>
      </x:c>
      <x:c r="J72" s="196" t="n">
        <x:v>0</x:v>
      </x:c>
      <x:c r="K72" s="195" t="n">
        <x:f>H72*I72</x:f>
        <x:v>149744</x:v>
      </x:c>
      <x:c r="L72" s="195" t="n">
        <x:f>K72*(1-J72)</x:f>
        <x:v>149744</x:v>
      </x:c>
      <x:c r="M72" s="195" t="n">
        <x:f>L72*(0.74-IF(E72="Healthy",0.04,IF(E72="Beverages",0.06,IF(E72="Desserts",0.05,IF(E72="North Indian",0.01,0)))))</x:f>
        <x:v>110810.56</x:v>
      </x:c>
      <x:c r="N72" s="195" t="n">
        <x:f>L72-M72</x:f>
        <x:v>38933.44</x:v>
      </x:c>
      <x:c r="O72" s="195" t="n">
        <x:f>L72*0.13</x:f>
        <x:v>19466.72</x:v>
      </x:c>
      <x:c r="P72" s="195" t="n">
        <x:f>N72-O72</x:f>
        <x:v>19466.72</x:v>
      </x:c>
      <x:c r="Q72" s="195" t="n">
        <x:v>153535.97082149732</x:v>
      </x:c>
    </x:row>
    <x:row r="73">
      <x:c r="A73" s="192" t="str">
        <x:v>ZOM-0069</x:v>
      </x:c>
      <x:c r="B73" s="193" t="n">
        <x:v>45726</x:v>
      </x:c>
      <x:c r="C73" s="236" t="str">
        <x:v>North</x:v>
      </x:c>
      <x:c r="D73" s="192" t="str">
        <x:v>Noida</x:v>
      </x:c>
      <x:c r="E73" s="192" t="str">
        <x:v>Biryani</x:v>
      </x:c>
      <x:c r="F73" s="192" t="str">
        <x:v>New User</x:v>
      </x:c>
      <x:c r="G73" s="192" t="str">
        <x:v>New User Customer 45</x:v>
      </x:c>
      <x:c r="H73" s="194" t="n">
        <x:v>67</x:v>
      </x:c>
      <x:c r="I73" s="195" t="n">
        <x:v>458</x:v>
      </x:c>
      <x:c r="J73" s="196" t="n">
        <x:v>0.09</x:v>
      </x:c>
      <x:c r="K73" s="195" t="n">
        <x:f>H73*I73</x:f>
        <x:v>30686</x:v>
      </x:c>
      <x:c r="L73" s="195" t="n">
        <x:f>K73*(1-J73)</x:f>
        <x:v>27924.260000000002</x:v>
      </x:c>
      <x:c r="M73" s="195" t="n">
        <x:f>L73*(0.74-IF(E73="Healthy",0.04,IF(E73="Beverages",0.06,IF(E73="Desserts",0.05,IF(E73="North Indian",0.01,0)))))</x:f>
        <x:v>20663.952400000002</x:v>
      </x:c>
      <x:c r="N73" s="195" t="n">
        <x:f>L73-M73</x:f>
        <x:v>7260.3076</x:v>
      </x:c>
      <x:c r="O73" s="195" t="n">
        <x:f>L73*0.13</x:f>
        <x:v>3630.1538000000005</x:v>
      </x:c>
      <x:c r="P73" s="195" t="n">
        <x:f>N73-O73</x:f>
        <x:v>3630.1537999999996</x:v>
      </x:c>
      <x:c r="Q73" s="195" t="n">
        <x:v>30293.206208246953</x:v>
      </x:c>
    </x:row>
    <x:row r="74">
      <x:c r="A74" s="192" t="str">
        <x:v>ZOM-0070</x:v>
      </x:c>
      <x:c r="B74" s="193" t="n">
        <x:v>45727</x:v>
      </x:c>
      <x:c r="C74" s="236" t="str">
        <x:v>Metro</x:v>
      </x:c>
      <x:c r="D74" s="192" t="str">
        <x:v>Delhi</x:v>
      </x:c>
      <x:c r="E74" s="192" t="str">
        <x:v>Burgers</x:v>
      </x:c>
      <x:c r="F74" s="192" t="str">
        <x:v>Student</x:v>
      </x:c>
      <x:c r="G74" s="192" t="str">
        <x:v>Student Customer 59</x:v>
      </x:c>
      <x:c r="H74" s="194" t="n">
        <x:v>134</x:v>
      </x:c>
      <x:c r="I74" s="195" t="n">
        <x:v>440</x:v>
      </x:c>
      <x:c r="J74" s="196" t="n">
        <x:v>0.12</x:v>
      </x:c>
      <x:c r="K74" s="195" t="n">
        <x:f>H74*I74</x:f>
        <x:v>58960</x:v>
      </x:c>
      <x:c r="L74" s="195" t="n">
        <x:f>K74*(1-J74)</x:f>
        <x:v>51884.8</x:v>
      </x:c>
      <x:c r="M74" s="195" t="n">
        <x:f>L74*(0.74-IF(E74="Healthy",0.04,IF(E74="Beverages",0.06,IF(E74="Desserts",0.05,IF(E74="North Indian",0.01,0)))))</x:f>
        <x:v>38394.752</x:v>
      </x:c>
      <x:c r="N74" s="195" t="n">
        <x:f>L74-M74</x:f>
        <x:v>13490.048000000003</x:v>
      </x:c>
      <x:c r="O74" s="195" t="n">
        <x:f>L74*0.13</x:f>
        <x:v>6745.024</x:v>
      </x:c>
      <x:c r="P74" s="195" t="n">
        <x:f>N74-O74</x:f>
        <x:v>6745.024000000002</x:v>
      </x:c>
      <x:c r="Q74" s="195" t="n">
        <x:v>55917.087771615166</x:v>
      </x:c>
    </x:row>
    <x:row r="75">
      <x:c r="A75" s="192" t="str">
        <x:v>ZOM-0071</x:v>
      </x:c>
      <x:c r="B75" s="193" t="n">
        <x:v>45728</x:v>
      </x:c>
      <x:c r="C75" s="236" t="str">
        <x:v>South</x:v>
      </x:c>
      <x:c r="D75" s="192" t="str">
        <x:v>Hyderabad</x:v>
      </x:c>
      <x:c r="E75" s="192" t="str">
        <x:v>North Indian</x:v>
      </x:c>
      <x:c r="F75" s="192" t="str">
        <x:v>New User</x:v>
      </x:c>
      <x:c r="G75" s="192" t="str">
        <x:v>New User Customer 26</x:v>
      </x:c>
      <x:c r="H75" s="194" t="n">
        <x:v>110</x:v>
      </x:c>
      <x:c r="I75" s="195" t="n">
        <x:v>559</x:v>
      </x:c>
      <x:c r="J75" s="196" t="n">
        <x:v>0.08</x:v>
      </x:c>
      <x:c r="K75" s="195" t="n">
        <x:f>H75*I75</x:f>
        <x:v>61490</x:v>
      </x:c>
      <x:c r="L75" s="195" t="n">
        <x:f>K75*(1-J75)</x:f>
        <x:v>56570.8</x:v>
      </x:c>
      <x:c r="M75" s="195" t="n">
        <x:f>L75*(0.74-IF(E75="Healthy",0.04,IF(E75="Beverages",0.06,IF(E75="Desserts",0.05,IF(E75="North Indian",0.01,0)))))</x:f>
        <x:v>41296.684</x:v>
      </x:c>
      <x:c r="N75" s="195" t="n">
        <x:f>L75-M75</x:f>
        <x:v>15274.116000000002</x:v>
      </x:c>
      <x:c r="O75" s="195" t="n">
        <x:f>L75*0.13</x:f>
        <x:v>7354.204000000001</x:v>
      </x:c>
      <x:c r="P75" s="195" t="n">
        <x:f>N75-O75</x:f>
        <x:v>7919.912000000001</x:v>
      </x:c>
      <x:c r="Q75" s="195" t="n">
        <x:v>58635.12183064839</x:v>
      </x:c>
    </x:row>
    <x:row r="76">
      <x:c r="A76" s="192" t="str">
        <x:v>ZOM-0072</x:v>
      </x:c>
      <x:c r="B76" s="193" t="n">
        <x:v>45729</x:v>
      </x:c>
      <x:c r="C76" s="236" t="str">
        <x:v>Metro</x:v>
      </x:c>
      <x:c r="D76" s="192" t="str">
        <x:v>Pune</x:v>
      </x:c>
      <x:c r="E76" s="192" t="str">
        <x:v>Chinese</x:v>
      </x:c>
      <x:c r="F76" s="192" t="str">
        <x:v>Gold User</x:v>
      </x:c>
      <x:c r="G76" s="192" t="str">
        <x:v>Gold User Customer 15</x:v>
      </x:c>
      <x:c r="H76" s="194" t="n">
        <x:v>187</x:v>
      </x:c>
      <x:c r="I76" s="195" t="n">
        <x:v>368</x:v>
      </x:c>
      <x:c r="J76" s="196" t="n">
        <x:v>0.04</x:v>
      </x:c>
      <x:c r="K76" s="195" t="n">
        <x:f>H76*I76</x:f>
        <x:v>68816</x:v>
      </x:c>
      <x:c r="L76" s="195" t="n">
        <x:f>K76*(1-J76)</x:f>
        <x:v>66063.36</x:v>
      </x:c>
      <x:c r="M76" s="195" t="n">
        <x:f>L76*(0.74-IF(E76="Healthy",0.04,IF(E76="Beverages",0.06,IF(E76="Desserts",0.05,IF(E76="North Indian",0.01,0)))))</x:f>
        <x:v>48886.8864</x:v>
      </x:c>
      <x:c r="N76" s="195" t="n">
        <x:f>L76-M76</x:f>
        <x:v>17176.473599999998</x:v>
      </x:c>
      <x:c r="O76" s="195" t="n">
        <x:f>L76*0.13</x:f>
        <x:v>8588.2368</x:v>
      </x:c>
      <x:c r="P76" s="195" t="n">
        <x:f>N76-O76</x:f>
        <x:v>8588.236799999997</x:v>
      </x:c>
      <x:c r="Q76" s="195" t="n">
        <x:v>66268.40660366543</x:v>
      </x:c>
    </x:row>
    <x:row r="77">
      <x:c r="A77" s="192" t="str">
        <x:v>ZOM-0073</x:v>
      </x:c>
      <x:c r="B77" s="193" t="n">
        <x:v>45730</x:v>
      </x:c>
      <x:c r="C77" s="236" t="str">
        <x:v>Metro</x:v>
      </x:c>
      <x:c r="D77" s="192" t="str">
        <x:v>Pune</x:v>
      </x:c>
      <x:c r="E77" s="192" t="str">
        <x:v>Chinese</x:v>
      </x:c>
      <x:c r="F77" s="192" t="str">
        <x:v>New User</x:v>
      </x:c>
      <x:c r="G77" s="192" t="str">
        <x:v>New User Customer 12</x:v>
      </x:c>
      <x:c r="H77" s="194" t="n">
        <x:v>113</x:v>
      </x:c>
      <x:c r="I77" s="195" t="n">
        <x:v>470</x:v>
      </x:c>
      <x:c r="J77" s="196" t="n">
        <x:v>0.08</x:v>
      </x:c>
      <x:c r="K77" s="195" t="n">
        <x:f>H77*I77</x:f>
        <x:v>53110</x:v>
      </x:c>
      <x:c r="L77" s="195" t="n">
        <x:f>K77*(1-J77)</x:f>
        <x:v>48861.200000000004</x:v>
      </x:c>
      <x:c r="M77" s="195" t="n">
        <x:f>L77*(0.74-IF(E77="Healthy",0.04,IF(E77="Beverages",0.06,IF(E77="Desserts",0.05,IF(E77="North Indian",0.01,0)))))</x:f>
        <x:v>36157.288</x:v>
      </x:c>
      <x:c r="N77" s="195" t="n">
        <x:f>L77-M77</x:f>
        <x:v>12703.912000000004</x:v>
      </x:c>
      <x:c r="O77" s="195" t="n">
        <x:f>L77*0.13</x:f>
        <x:v>6351.956000000001</x:v>
      </x:c>
      <x:c r="P77" s="195" t="n">
        <x:f>N77-O77</x:f>
        <x:v>6351.956000000003</x:v>
      </x:c>
      <x:c r="Q77" s="195" t="n">
        <x:v>54232.44988465369</x:v>
      </x:c>
    </x:row>
    <x:row r="78">
      <x:c r="A78" s="192" t="str">
        <x:v>ZOM-0074</x:v>
      </x:c>
      <x:c r="B78" s="193" t="n">
        <x:v>45731</x:v>
      </x:c>
      <x:c r="C78" s="236" t="str">
        <x:v>Metro</x:v>
      </x:c>
      <x:c r="D78" s="192" t="str">
        <x:v>Hyderabad</x:v>
      </x:c>
      <x:c r="E78" s="192" t="str">
        <x:v>Burgers</x:v>
      </x:c>
      <x:c r="F78" s="192" t="str">
        <x:v>Gold User</x:v>
      </x:c>
      <x:c r="G78" s="192" t="str">
        <x:v>Gold User Customer 22</x:v>
      </x:c>
      <x:c r="H78" s="194" t="n">
        <x:v>104</x:v>
      </x:c>
      <x:c r="I78" s="195" t="n">
        <x:v>419</x:v>
      </x:c>
      <x:c r="J78" s="196" t="n">
        <x:v>0.04</x:v>
      </x:c>
      <x:c r="K78" s="195" t="n">
        <x:f>H78*I78</x:f>
        <x:v>43576</x:v>
      </x:c>
      <x:c r="L78" s="195" t="n">
        <x:f>K78*(1-J78)</x:f>
        <x:v>41832.96</x:v>
      </x:c>
      <x:c r="M78" s="195" t="n">
        <x:f>L78*(0.74-IF(E78="Healthy",0.04,IF(E78="Beverages",0.06,IF(E78="Desserts",0.05,IF(E78="North Indian",0.01,0)))))</x:f>
        <x:v>30956.3904</x:v>
      </x:c>
      <x:c r="N78" s="195" t="n">
        <x:f>L78-M78</x:f>
        <x:v>10876.569599999999</x:v>
      </x:c>
      <x:c r="O78" s="195" t="n">
        <x:f>L78*0.13</x:f>
        <x:v>5438.2848</x:v>
      </x:c>
      <x:c r="P78" s="195" t="n">
        <x:f>N78-O78</x:f>
        <x:v>5438.2847999999985</x:v>
      </x:c>
      <x:c r="Q78" s="195" t="n">
        <x:v>46138.741707447145</x:v>
      </x:c>
    </x:row>
    <x:row r="79">
      <x:c r="A79" s="192" t="str">
        <x:v>ZOM-0075</x:v>
      </x:c>
      <x:c r="B79" s="193" t="n">
        <x:v>45732</x:v>
      </x:c>
      <x:c r="C79" s="236" t="str">
        <x:v>West</x:v>
      </x:c>
      <x:c r="D79" s="192" t="str">
        <x:v>Surat</x:v>
      </x:c>
      <x:c r="E79" s="192" t="str">
        <x:v>Pizza</x:v>
      </x:c>
      <x:c r="F79" s="192" t="str">
        <x:v>Student</x:v>
      </x:c>
      <x:c r="G79" s="192" t="str">
        <x:v>Student Customer 26</x:v>
      </x:c>
      <x:c r="H79" s="194" t="n">
        <x:v>120</x:v>
      </x:c>
      <x:c r="I79" s="195" t="n">
        <x:v>518</x:v>
      </x:c>
      <x:c r="J79" s="196" t="n">
        <x:v>0.09999999999999999</x:v>
      </x:c>
      <x:c r="K79" s="195" t="n">
        <x:f>H79*I79</x:f>
        <x:v>62160</x:v>
      </x:c>
      <x:c r="L79" s="195" t="n">
        <x:f>K79*(1-J79)</x:f>
        <x:v>55944</x:v>
      </x:c>
      <x:c r="M79" s="195" t="n">
        <x:f>L79*(0.74-IF(E79="Healthy",0.04,IF(E79="Beverages",0.06,IF(E79="Desserts",0.05,IF(E79="North Indian",0.01,0)))))</x:f>
        <x:v>41398.56</x:v>
      </x:c>
      <x:c r="N79" s="195" t="n">
        <x:f>L79-M79</x:f>
        <x:v>14545.440000000002</x:v>
      </x:c>
      <x:c r="O79" s="195" t="n">
        <x:f>L79*0.13</x:f>
        <x:v>7272.72</x:v>
      </x:c>
      <x:c r="P79" s="195" t="n">
        <x:f>N79-O79</x:f>
        <x:v>7272.720000000002</x:v>
      </x:c>
      <x:c r="Q79" s="195" t="n">
        <x:v>62457.12172278949</x:v>
      </x:c>
    </x:row>
    <x:row r="80">
      <x:c r="A80" s="192" t="str">
        <x:v>ZOM-0076</x:v>
      </x:c>
      <x:c r="B80" s="193" t="n">
        <x:v>45733</x:v>
      </x:c>
      <x:c r="C80" s="236" t="str">
        <x:v>Metro</x:v>
      </x:c>
      <x:c r="D80" s="192" t="str">
        <x:v>Delhi</x:v>
      </x:c>
      <x:c r="E80" s="192" t="str">
        <x:v>Burgers</x:v>
      </x:c>
      <x:c r="F80" s="192" t="str">
        <x:v>Gold User</x:v>
      </x:c>
      <x:c r="G80" s="192" t="str">
        <x:v>Gold User Customer 04</x:v>
      </x:c>
      <x:c r="H80" s="194" t="n">
        <x:v>156</x:v>
      </x:c>
      <x:c r="I80" s="195" t="n">
        <x:v>346</x:v>
      </x:c>
      <x:c r="J80" s="196" t="n">
        <x:v>0.03</x:v>
      </x:c>
      <x:c r="K80" s="195" t="n">
        <x:f>H80*I80</x:f>
        <x:v>53976</x:v>
      </x:c>
      <x:c r="L80" s="195" t="n">
        <x:f>K80*(1-J80)</x:f>
        <x:v>52356.72</x:v>
      </x:c>
      <x:c r="M80" s="195" t="n">
        <x:f>L80*(0.74-IF(E80="Healthy",0.04,IF(E80="Beverages",0.06,IF(E80="Desserts",0.05,IF(E80="North Indian",0.01,0)))))</x:f>
        <x:v>38743.9728</x:v>
      </x:c>
      <x:c r="N80" s="195" t="n">
        <x:f>L80-M80</x:f>
        <x:v>13612.747199999998</x:v>
      </x:c>
      <x:c r="O80" s="195" t="n">
        <x:f>L80*0.13</x:f>
        <x:v>6806.373600000001</x:v>
      </x:c>
      <x:c r="P80" s="195" t="n">
        <x:f>N80-O80</x:f>
        <x:v>6806.373599999997</x:v>
      </x:c>
      <x:c r="Q80" s="195" t="n">
        <x:v>55133.97774567394</x:v>
      </x:c>
    </x:row>
    <x:row r="81">
      <x:c r="A81" s="192" t="str">
        <x:v>ZOM-0077</x:v>
      </x:c>
      <x:c r="B81" s="193" t="n">
        <x:v>45734</x:v>
      </x:c>
      <x:c r="C81" s="236" t="str">
        <x:v>South</x:v>
      </x:c>
      <x:c r="D81" s="192" t="str">
        <x:v>Coimbatore</x:v>
      </x:c>
      <x:c r="E81" s="192" t="str">
        <x:v>North Indian</x:v>
      </x:c>
      <x:c r="F81" s="192" t="str">
        <x:v>Repeat User</x:v>
      </x:c>
      <x:c r="G81" s="192" t="str">
        <x:v>Repeat User Customer 27</x:v>
      </x:c>
      <x:c r="H81" s="194" t="n">
        <x:v>141</x:v>
      </x:c>
      <x:c r="I81" s="195" t="n">
        <x:v>454</x:v>
      </x:c>
      <x:c r="J81" s="196" t="n">
        <x:v>0.05</x:v>
      </x:c>
      <x:c r="K81" s="195" t="n">
        <x:f>H81*I81</x:f>
        <x:v>64014</x:v>
      </x:c>
      <x:c r="L81" s="195" t="n">
        <x:f>K81*(1-J81)</x:f>
        <x:v>60813.299999999996</x:v>
      </x:c>
      <x:c r="M81" s="195" t="n">
        <x:f>L81*(0.74-IF(E81="Healthy",0.04,IF(E81="Beverages",0.06,IF(E81="Desserts",0.05,IF(E81="North Indian",0.01,0)))))</x:f>
        <x:v>44393.708999999995</x:v>
      </x:c>
      <x:c r="N81" s="195" t="n">
        <x:f>L81-M81</x:f>
        <x:v>16419.591</x:v>
      </x:c>
      <x:c r="O81" s="195" t="n">
        <x:f>L81*0.13</x:f>
        <x:v>7905.728999999999</x:v>
      </x:c>
      <x:c r="P81" s="195" t="n">
        <x:f>N81-O81</x:f>
        <x:v>8513.862000000001</x:v>
      </x:c>
      <x:c r="Q81" s="195" t="n">
        <x:v>60913.09071718966</x:v>
      </x:c>
    </x:row>
    <x:row r="82">
      <x:c r="A82" s="192" t="str">
        <x:v>ZOM-0078</x:v>
      </x:c>
      <x:c r="B82" s="193" t="n">
        <x:v>45735</x:v>
      </x:c>
      <x:c r="C82" s="236" t="str">
        <x:v>North</x:v>
      </x:c>
      <x:c r="D82" s="192" t="str">
        <x:v>Delhi</x:v>
      </x:c>
      <x:c r="E82" s="192" t="str">
        <x:v>South Indian</x:v>
      </x:c>
      <x:c r="F82" s="192" t="str">
        <x:v>New User</x:v>
      </x:c>
      <x:c r="G82" s="192" t="str">
        <x:v>New User Customer 31</x:v>
      </x:c>
      <x:c r="H82" s="194" t="n">
        <x:v>85</x:v>
      </x:c>
      <x:c r="I82" s="195" t="n">
        <x:v>372</x:v>
      </x:c>
      <x:c r="J82" s="196" t="n">
        <x:v>0.08</x:v>
      </x:c>
      <x:c r="K82" s="195" t="n">
        <x:f>H82*I82</x:f>
        <x:v>31620</x:v>
      </x:c>
      <x:c r="L82" s="195" t="n">
        <x:f>K82*(1-J82)</x:f>
        <x:v>29090.4</x:v>
      </x:c>
      <x:c r="M82" s="195" t="n">
        <x:f>L82*(0.74-IF(E82="Healthy",0.04,IF(E82="Beverages",0.06,IF(E82="Desserts",0.05,IF(E82="North Indian",0.01,0)))))</x:f>
        <x:v>21526.896</x:v>
      </x:c>
      <x:c r="N82" s="195" t="n">
        <x:f>L82-M82</x:f>
        <x:v>7563.504000000001</x:v>
      </x:c>
      <x:c r="O82" s="195" t="n">
        <x:f>L82*0.13</x:f>
        <x:v>3781.7520000000004</x:v>
      </x:c>
      <x:c r="P82" s="195" t="n">
        <x:f>N82-O82</x:f>
        <x:v>3781.7520000000004</x:v>
      </x:c>
      <x:c r="Q82" s="195" t="n">
        <x:v>32004.294415968518</x:v>
      </x:c>
    </x:row>
    <x:row r="83">
      <x:c r="A83" s="192" t="str">
        <x:v>ZOM-0079</x:v>
      </x:c>
      <x:c r="B83" s="193" t="n">
        <x:v>45736</x:v>
      </x:c>
      <x:c r="C83" s="236" t="str">
        <x:v>South</x:v>
      </x:c>
      <x:c r="D83" s="192" t="str">
        <x:v>Coimbatore</x:v>
      </x:c>
      <x:c r="E83" s="192" t="str">
        <x:v>Biryani</x:v>
      </x:c>
      <x:c r="F83" s="192" t="str">
        <x:v>Repeat User</x:v>
      </x:c>
      <x:c r="G83" s="192" t="str">
        <x:v>Repeat User Customer 27</x:v>
      </x:c>
      <x:c r="H83" s="194" t="n">
        <x:v>157</x:v>
      </x:c>
      <x:c r="I83" s="195" t="n">
        <x:v>478</x:v>
      </x:c>
      <x:c r="J83" s="196" t="n">
        <x:v>0.05</x:v>
      </x:c>
      <x:c r="K83" s="195" t="n">
        <x:f>H83*I83</x:f>
        <x:v>75046</x:v>
      </x:c>
      <x:c r="L83" s="195" t="n">
        <x:f>K83*(1-J83)</x:f>
        <x:v>71293.7</x:v>
      </x:c>
      <x:c r="M83" s="195" t="n">
        <x:f>L83*(0.74-IF(E83="Healthy",0.04,IF(E83="Beverages",0.06,IF(E83="Desserts",0.05,IF(E83="North Indian",0.01,0)))))</x:f>
        <x:v>52757.337999999996</x:v>
      </x:c>
      <x:c r="N83" s="195" t="n">
        <x:f>L83-M83</x:f>
        <x:v>18536.362</x:v>
      </x:c>
      <x:c r="O83" s="195" t="n">
        <x:f>L83*0.13</x:f>
        <x:v>9268.181</x:v>
      </x:c>
      <x:c r="P83" s="195" t="n">
        <x:f>N83-O83</x:f>
        <x:v>9268.181</x:v>
      </x:c>
      <x:c r="Q83" s="195" t="n">
        <x:v>78052.39564854505</x:v>
      </x:c>
    </x:row>
    <x:row r="84">
      <x:c r="A84" s="192" t="str">
        <x:v>ZOM-0080</x:v>
      </x:c>
      <x:c r="B84" s="193" t="n">
        <x:v>45737</x:v>
      </x:c>
      <x:c r="C84" s="236" t="str">
        <x:v>South</x:v>
      </x:c>
      <x:c r="D84" s="192" t="str">
        <x:v>Coimbatore</x:v>
      </x:c>
      <x:c r="E84" s="192" t="str">
        <x:v>Biryani</x:v>
      </x:c>
      <x:c r="F84" s="192" t="str">
        <x:v>New User</x:v>
      </x:c>
      <x:c r="G84" s="192" t="str">
        <x:v>New User Customer 22</x:v>
      </x:c>
      <x:c r="H84" s="194" t="n">
        <x:v>109</x:v>
      </x:c>
      <x:c r="I84" s="195" t="n">
        <x:v>543</x:v>
      </x:c>
      <x:c r="J84" s="196" t="n">
        <x:v>0.09</x:v>
      </x:c>
      <x:c r="K84" s="195" t="n">
        <x:f>H84*I84</x:f>
        <x:v>59187</x:v>
      </x:c>
      <x:c r="L84" s="195" t="n">
        <x:f>K84*(1-J84)</x:f>
        <x:v>53860.17</x:v>
      </x:c>
      <x:c r="M84" s="195" t="n">
        <x:f>L84*(0.74-IF(E84="Healthy",0.04,IF(E84="Beverages",0.06,IF(E84="Desserts",0.05,IF(E84="North Indian",0.01,0)))))</x:f>
        <x:v>39856.525799999996</x:v>
      </x:c>
      <x:c r="N84" s="195" t="n">
        <x:f>L84-M84</x:f>
        <x:v>14003.644200000002</x:v>
      </x:c>
      <x:c r="O84" s="195" t="n">
        <x:f>L84*0.13</x:f>
        <x:v>7001.8221</x:v>
      </x:c>
      <x:c r="P84" s="195" t="n">
        <x:f>N84-O84</x:f>
        <x:v>7001.822100000002</x:v>
      </x:c>
      <x:c r="Q84" s="195" t="n">
        <x:v>56990.57512366215</x:v>
      </x:c>
    </x:row>
    <x:row r="85">
      <x:c r="A85" s="192" t="str">
        <x:v>ZOM-0081</x:v>
      </x:c>
      <x:c r="B85" s="193" t="n">
        <x:v>45738</x:v>
      </x:c>
      <x:c r="C85" s="236" t="str">
        <x:v>West</x:v>
      </x:c>
      <x:c r="D85" s="192" t="str">
        <x:v>Nagpur</x:v>
      </x:c>
      <x:c r="E85" s="192" t="str">
        <x:v>Pizza</x:v>
      </x:c>
      <x:c r="F85" s="192" t="str">
        <x:v>Student</x:v>
      </x:c>
      <x:c r="G85" s="192" t="str">
        <x:v>Student Customer 03</x:v>
      </x:c>
      <x:c r="H85" s="194" t="n">
        <x:v>81</x:v>
      </x:c>
      <x:c r="I85" s="195" t="n">
        <x:v>770</x:v>
      </x:c>
      <x:c r="J85" s="196" t="n">
        <x:v>0.12</x:v>
      </x:c>
      <x:c r="K85" s="195" t="n">
        <x:f>H85*I85</x:f>
        <x:v>62370</x:v>
      </x:c>
      <x:c r="L85" s="195" t="n">
        <x:f>K85*(1-J85)</x:f>
        <x:v>54885.6</x:v>
      </x:c>
      <x:c r="M85" s="195" t="n">
        <x:f>L85*(0.74-IF(E85="Healthy",0.04,IF(E85="Beverages",0.06,IF(E85="Desserts",0.05,IF(E85="North Indian",0.01,0)))))</x:f>
        <x:v>40615.344</x:v>
      </x:c>
      <x:c r="N85" s="195" t="n">
        <x:f>L85-M85</x:f>
        <x:v>14270.256000000001</x:v>
      </x:c>
      <x:c r="O85" s="195" t="n">
        <x:f>L85*0.13</x:f>
        <x:v>7135.128</x:v>
      </x:c>
      <x:c r="P85" s="195" t="n">
        <x:f>N85-O85</x:f>
        <x:v>7135.1280000000015</x:v>
      </x:c>
      <x:c r="Q85" s="195" t="n">
        <x:v>59993.54686110096</x:v>
      </x:c>
    </x:row>
    <x:row r="86">
      <x:c r="A86" s="192" t="str">
        <x:v>ZOM-0082</x:v>
      </x:c>
      <x:c r="B86" s="193" t="n">
        <x:v>45739</x:v>
      </x:c>
      <x:c r="C86" s="236" t="str">
        <x:v>South</x:v>
      </x:c>
      <x:c r="D86" s="192" t="str">
        <x:v>Kochi</x:v>
      </x:c>
      <x:c r="E86" s="192" t="str">
        <x:v>Desserts</x:v>
      </x:c>
      <x:c r="F86" s="192" t="str">
        <x:v>Budget</x:v>
      </x:c>
      <x:c r="G86" s="192" t="str">
        <x:v>Budget Customer 38</x:v>
      </x:c>
      <x:c r="H86" s="194" t="n">
        <x:v>103</x:v>
      </x:c>
      <x:c r="I86" s="195" t="n">
        <x:v>349</x:v>
      </x:c>
      <x:c r="J86" s="196" t="n">
        <x:v>0.1</x:v>
      </x:c>
      <x:c r="K86" s="195" t="n">
        <x:f>H86*I86</x:f>
        <x:v>35947</x:v>
      </x:c>
      <x:c r="L86" s="195" t="n">
        <x:f>K86*(1-J86)</x:f>
        <x:v>32352.3</x:v>
      </x:c>
      <x:c r="M86" s="195" t="n">
        <x:f>L86*(0.74-IF(E86="Healthy",0.04,IF(E86="Beverages",0.06,IF(E86="Desserts",0.05,IF(E86="North Indian",0.01,0)))))</x:f>
        <x:v>22323.087</x:v>
      </x:c>
      <x:c r="N86" s="195" t="n">
        <x:f>L86-M86</x:f>
        <x:v>10029.213</x:v>
      </x:c>
      <x:c r="O86" s="195" t="n">
        <x:f>L86*0.13</x:f>
        <x:v>4205.799</x:v>
      </x:c>
      <x:c r="P86" s="195" t="n">
        <x:f>N86-O86</x:f>
        <x:v>5823.414</x:v>
      </x:c>
      <x:c r="Q86" s="195" t="n">
        <x:v>34302.33287717361</x:v>
      </x:c>
    </x:row>
    <x:row r="87">
      <x:c r="A87" s="192" t="str">
        <x:v>ZOM-0083</x:v>
      </x:c>
      <x:c r="B87" s="193" t="n">
        <x:v>45740</x:v>
      </x:c>
      <x:c r="C87" s="236" t="str">
        <x:v>South</x:v>
      </x:c>
      <x:c r="D87" s="192" t="str">
        <x:v>Bengaluru</x:v>
      </x:c>
      <x:c r="E87" s="192" t="str">
        <x:v>Beverages</x:v>
      </x:c>
      <x:c r="F87" s="192" t="str">
        <x:v>Gold User</x:v>
      </x:c>
      <x:c r="G87" s="192" t="str">
        <x:v>Gold User Customer 10</x:v>
      </x:c>
      <x:c r="H87" s="194" t="n">
        <x:v>163</x:v>
      </x:c>
      <x:c r="I87" s="195" t="n">
        <x:v>267</x:v>
      </x:c>
      <x:c r="J87" s="196" t="n">
        <x:v>0.009999999999999998</x:v>
      </x:c>
      <x:c r="K87" s="195" t="n">
        <x:f>H87*I87</x:f>
        <x:v>43521</x:v>
      </x:c>
      <x:c r="L87" s="195" t="n">
        <x:f>K87*(1-J87)</x:f>
        <x:v>43085.79</x:v>
      </x:c>
      <x:c r="M87" s="195" t="n">
        <x:f>L87*(0.74-IF(E87="Healthy",0.04,IF(E87="Beverages",0.06,IF(E87="Desserts",0.05,IF(E87="North Indian",0.01,0)))))</x:f>
        <x:v>29298.337199999998</x:v>
      </x:c>
      <x:c r="N87" s="195" t="n">
        <x:f>L87-M87</x:f>
        <x:v>13787.452800000003</x:v>
      </x:c>
      <x:c r="O87" s="195" t="n">
        <x:f>L87*0.13</x:f>
        <x:v>5601.152700000001</x:v>
      </x:c>
      <x:c r="P87" s="195" t="n">
        <x:f>N87-O87</x:f>
        <x:v>8186.300100000002</x:v>
      </x:c>
      <x:c r="Q87" s="195" t="n">
        <x:v>46471.20248716642</x:v>
      </x:c>
    </x:row>
    <x:row r="88">
      <x:c r="A88" s="192" t="str">
        <x:v>ZOM-0084</x:v>
      </x:c>
      <x:c r="B88" s="193" t="n">
        <x:v>45741</x:v>
      </x:c>
      <x:c r="C88" s="236" t="str">
        <x:v>North</x:v>
      </x:c>
      <x:c r="D88" s="192" t="str">
        <x:v>Gurugram</x:v>
      </x:c>
      <x:c r="E88" s="192" t="str">
        <x:v>Pizza</x:v>
      </x:c>
      <x:c r="F88" s="192" t="str">
        <x:v>Budget</x:v>
      </x:c>
      <x:c r="G88" s="192" t="str">
        <x:v>Budget Customer 32</x:v>
      </x:c>
      <x:c r="H88" s="194" t="n">
        <x:v>66</x:v>
      </x:c>
      <x:c r="I88" s="195" t="n">
        <x:v>735</x:v>
      </x:c>
      <x:c r="J88" s="196" t="n">
        <x:v>0.11</x:v>
      </x:c>
      <x:c r="K88" s="195" t="n">
        <x:f>H88*I88</x:f>
        <x:v>48510</x:v>
      </x:c>
      <x:c r="L88" s="195" t="n">
        <x:f>K88*(1-J88)</x:f>
        <x:v>43173.9</x:v>
      </x:c>
      <x:c r="M88" s="195" t="n">
        <x:f>L88*(0.74-IF(E88="Healthy",0.04,IF(E88="Beverages",0.06,IF(E88="Desserts",0.05,IF(E88="North Indian",0.01,0)))))</x:f>
        <x:v>31948.686</x:v>
      </x:c>
      <x:c r="N88" s="195" t="n">
        <x:f>L88-M88</x:f>
        <x:v>11225.214</x:v>
      </x:c>
      <x:c r="O88" s="195" t="n">
        <x:f>L88*0.13</x:f>
        <x:v>5612.607</x:v>
      </x:c>
      <x:c r="P88" s="195" t="n">
        <x:f>N88-O88</x:f>
        <x:v>5612.607</x:v>
      </x:c>
      <x:c r="Q88" s="195" t="n">
        <x:v>47771.602674247064</x:v>
      </x:c>
    </x:row>
    <x:row r="89">
      <x:c r="A89" s="192" t="str">
        <x:v>ZOM-0085</x:v>
      </x:c>
      <x:c r="B89" s="193" t="n">
        <x:v>45742</x:v>
      </x:c>
      <x:c r="C89" s="236" t="str">
        <x:v>Metro</x:v>
      </x:c>
      <x:c r="D89" s="192" t="str">
        <x:v>Delhi</x:v>
      </x:c>
      <x:c r="E89" s="192" t="str">
        <x:v>Burgers</x:v>
      </x:c>
      <x:c r="F89" s="192" t="str">
        <x:v>Repeat User</x:v>
      </x:c>
      <x:c r="G89" s="192" t="str">
        <x:v>Repeat User Customer 56</x:v>
      </x:c>
      <x:c r="H89" s="194" t="n">
        <x:v>122</x:v>
      </x:c>
      <x:c r="I89" s="195" t="n">
        <x:v>512</x:v>
      </x:c>
      <x:c r="J89" s="196" t="n">
        <x:v>0.030000000000000002</x:v>
      </x:c>
      <x:c r="K89" s="195" t="n">
        <x:f>H89*I89</x:f>
        <x:v>62464</x:v>
      </x:c>
      <x:c r="L89" s="195" t="n">
        <x:f>K89*(1-J89)</x:f>
        <x:v>60590.08</x:v>
      </x:c>
      <x:c r="M89" s="195" t="n">
        <x:f>L89*(0.74-IF(E89="Healthy",0.04,IF(E89="Beverages",0.06,IF(E89="Desserts",0.05,IF(E89="North Indian",0.01,0)))))</x:f>
        <x:v>44836.6592</x:v>
      </x:c>
      <x:c r="N89" s="195" t="n">
        <x:f>L89-M89</x:f>
        <x:v>15753.4208</x:v>
      </x:c>
      <x:c r="O89" s="195" t="n">
        <x:f>L89*0.13</x:f>
        <x:v>7876.710400000001</x:v>
      </x:c>
      <x:c r="P89" s="195" t="n">
        <x:f>N89-O89</x:f>
        <x:v>7876.710399999999</x:v>
      </x:c>
      <x:c r="Q89" s="195" t="n">
        <x:v>65197.93979747854</x:v>
      </x:c>
    </x:row>
    <x:row r="90">
      <x:c r="A90" s="192" t="str">
        <x:v>ZOM-0086</x:v>
      </x:c>
      <x:c r="B90" s="193" t="n">
        <x:v>45743</x:v>
      </x:c>
      <x:c r="C90" s="236" t="str">
        <x:v>North</x:v>
      </x:c>
      <x:c r="D90" s="192" t="str">
        <x:v>Noida</x:v>
      </x:c>
      <x:c r="E90" s="192" t="str">
        <x:v>Burgers</x:v>
      </x:c>
      <x:c r="F90" s="192" t="str">
        <x:v>Student</x:v>
      </x:c>
      <x:c r="G90" s="192" t="str">
        <x:v>Student Customer 34</x:v>
      </x:c>
      <x:c r="H90" s="194" t="n">
        <x:v>59</x:v>
      </x:c>
      <x:c r="I90" s="195" t="n">
        <x:v>393</x:v>
      </x:c>
      <x:c r="J90" s="196" t="n">
        <x:v>0.09999999999999999</x:v>
      </x:c>
      <x:c r="K90" s="195" t="n">
        <x:f>H90*I90</x:f>
        <x:v>23187</x:v>
      </x:c>
      <x:c r="L90" s="195" t="n">
        <x:f>K90*(1-J90)</x:f>
        <x:v>20868.3</x:v>
      </x:c>
      <x:c r="M90" s="195" t="n">
        <x:f>L90*(0.74-IF(E90="Healthy",0.04,IF(E90="Beverages",0.06,IF(E90="Desserts",0.05,IF(E90="North Indian",0.01,0)))))</x:f>
        <x:v>15442.542</x:v>
      </x:c>
      <x:c r="N90" s="195" t="n">
        <x:f>L90-M90</x:f>
        <x:v>5425.758</x:v>
      </x:c>
      <x:c r="O90" s="195" t="n">
        <x:f>L90*0.13</x:f>
        <x:v>2712.879</x:v>
      </x:c>
      <x:c r="P90" s="195" t="n">
        <x:f>N90-O90</x:f>
        <x:v>2712.879</x:v>
      </x:c>
      <x:c r="Q90" s="195" t="n">
        <x:v>21232.83530011125</x:v>
      </x:c>
    </x:row>
    <x:row r="91">
      <x:c r="A91" s="192" t="str">
        <x:v>ZOM-0087</x:v>
      </x:c>
      <x:c r="B91" s="193" t="n">
        <x:v>45744</x:v>
      </x:c>
      <x:c r="C91" s="236" t="str">
        <x:v>West</x:v>
      </x:c>
      <x:c r="D91" s="192" t="str">
        <x:v>Pune</x:v>
      </x:c>
      <x:c r="E91" s="192" t="str">
        <x:v>Biryani</x:v>
      </x:c>
      <x:c r="F91" s="192" t="str">
        <x:v>New User</x:v>
      </x:c>
      <x:c r="G91" s="192" t="str">
        <x:v>New User Customer 41</x:v>
      </x:c>
      <x:c r="H91" s="194" t="n">
        <x:v>124</x:v>
      </x:c>
      <x:c r="I91" s="195" t="n">
        <x:v>500</x:v>
      </x:c>
      <x:c r="J91" s="196" t="n">
        <x:v>0.08</x:v>
      </x:c>
      <x:c r="K91" s="195" t="n">
        <x:f>H91*I91</x:f>
        <x:v>62000</x:v>
      </x:c>
      <x:c r="L91" s="195" t="n">
        <x:f>K91*(1-J91)</x:f>
        <x:v>57040</x:v>
      </x:c>
      <x:c r="M91" s="195" t="n">
        <x:f>L91*(0.74-IF(E91="Healthy",0.04,IF(E91="Beverages",0.06,IF(E91="Desserts",0.05,IF(E91="North Indian",0.01,0)))))</x:f>
        <x:v>42209.6</x:v>
      </x:c>
      <x:c r="N91" s="195" t="n">
        <x:f>L91-M91</x:f>
        <x:v>14830.400000000001</x:v>
      </x:c>
      <x:c r="O91" s="195" t="n">
        <x:f>L91*0.13</x:f>
        <x:v>7415.2</x:v>
      </x:c>
      <x:c r="P91" s="195" t="n">
        <x:f>N91-O91</x:f>
        <x:v>7415.200000000002</x:v>
      </x:c>
      <x:c r="Q91" s="195" t="n">
        <x:v>58629.283463511456</x:v>
      </x:c>
    </x:row>
    <x:row r="92">
      <x:c r="A92" s="192" t="str">
        <x:v>ZOM-0088</x:v>
      </x:c>
      <x:c r="B92" s="193" t="n">
        <x:v>45745</x:v>
      </x:c>
      <x:c r="C92" s="236" t="str">
        <x:v>South</x:v>
      </x:c>
      <x:c r="D92" s="192" t="str">
        <x:v>Chennai</x:v>
      </x:c>
      <x:c r="E92" s="192" t="str">
        <x:v>Burgers</x:v>
      </x:c>
      <x:c r="F92" s="192" t="str">
        <x:v>Student</x:v>
      </x:c>
      <x:c r="G92" s="192" t="str">
        <x:v>Student Customer 20</x:v>
      </x:c>
      <x:c r="H92" s="194" t="n">
        <x:v>107</x:v>
      </x:c>
      <x:c r="I92" s="195" t="n">
        <x:v>495</x:v>
      </x:c>
      <x:c r="J92" s="196" t="n">
        <x:v>0.12</x:v>
      </x:c>
      <x:c r="K92" s="195" t="n">
        <x:f>H92*I92</x:f>
        <x:v>52965</x:v>
      </x:c>
      <x:c r="L92" s="195" t="n">
        <x:f>K92*(1-J92)</x:f>
        <x:v>46609.2</x:v>
      </x:c>
      <x:c r="M92" s="195" t="n">
        <x:f>L92*(0.74-IF(E92="Healthy",0.04,IF(E92="Beverages",0.06,IF(E92="Desserts",0.05,IF(E92="North Indian",0.01,0)))))</x:f>
        <x:v>34490.808</x:v>
      </x:c>
      <x:c r="N92" s="195" t="n">
        <x:f>L92-M92</x:f>
        <x:v>12118.392</x:v>
      </x:c>
      <x:c r="O92" s="195" t="n">
        <x:f>L92*0.13</x:f>
        <x:v>6059.196</x:v>
      </x:c>
      <x:c r="P92" s="195" t="n">
        <x:f>N92-O92</x:f>
        <x:v>6059.196</x:v>
      </x:c>
      <x:c r="Q92" s="195" t="n">
        <x:v>52133.238647133214</x:v>
      </x:c>
    </x:row>
    <x:row r="93">
      <x:c r="A93" s="192" t="str">
        <x:v>ZOM-0089</x:v>
      </x:c>
      <x:c r="B93" s="193" t="n">
        <x:v>45746</x:v>
      </x:c>
      <x:c r="C93" s="236" t="str">
        <x:v>East</x:v>
      </x:c>
      <x:c r="D93" s="192" t="str">
        <x:v>Ranchi</x:v>
      </x:c>
      <x:c r="E93" s="192" t="str">
        <x:v>Burgers</x:v>
      </x:c>
      <x:c r="F93" s="192" t="str">
        <x:v>Gold User</x:v>
      </x:c>
      <x:c r="G93" s="192" t="str">
        <x:v>Gold User Customer 23</x:v>
      </x:c>
      <x:c r="H93" s="194" t="n">
        <x:v>110</x:v>
      </x:c>
      <x:c r="I93" s="195" t="n">
        <x:v>371</x:v>
      </x:c>
      <x:c r="J93" s="196" t="n">
        <x:v>0.04</x:v>
      </x:c>
      <x:c r="K93" s="195" t="n">
        <x:f>H93*I93</x:f>
        <x:v>40810</x:v>
      </x:c>
      <x:c r="L93" s="195" t="n">
        <x:f>K93*(1-J93)</x:f>
        <x:v>39177.6</x:v>
      </x:c>
      <x:c r="M93" s="195" t="n">
        <x:f>L93*(0.74-IF(E93="Healthy",0.04,IF(E93="Beverages",0.06,IF(E93="Desserts",0.05,IF(E93="North Indian",0.01,0)))))</x:f>
        <x:v>28991.424</x:v>
      </x:c>
      <x:c r="N93" s="195" t="n">
        <x:f>L93-M93</x:f>
        <x:v>10186.176</x:v>
      </x:c>
      <x:c r="O93" s="195" t="n">
        <x:f>L93*0.13</x:f>
        <x:v>5093.088</x:v>
      </x:c>
      <x:c r="P93" s="195" t="n">
        <x:f>N93-O93</x:f>
        <x:v>5093.088</x:v>
      </x:c>
      <x:c r="Q93" s="195" t="n">
        <x:v>40970.51254894938</x:v>
      </x:c>
    </x:row>
    <x:row r="94">
      <x:c r="A94" s="192" t="str">
        <x:v>ZOM-0090</x:v>
      </x:c>
      <x:c r="B94" s="193" t="n">
        <x:v>45747</x:v>
      </x:c>
      <x:c r="C94" s="236" t="str">
        <x:v>West</x:v>
      </x:c>
      <x:c r="D94" s="192" t="str">
        <x:v>Ahmedabad</x:v>
      </x:c>
      <x:c r="E94" s="192" t="str">
        <x:v>North Indian</x:v>
      </x:c>
      <x:c r="F94" s="192" t="str">
        <x:v>Budget</x:v>
      </x:c>
      <x:c r="G94" s="192" t="str">
        <x:v>Budget Customer 58</x:v>
      </x:c>
      <x:c r="H94" s="194" t="n">
        <x:v>108</x:v>
      </x:c>
      <x:c r="I94" s="195" t="n">
        <x:v>488</x:v>
      </x:c>
      <x:c r="J94" s="196" t="n">
        <x:v>0.08</x:v>
      </x:c>
      <x:c r="K94" s="195" t="n">
        <x:f>H94*I94</x:f>
        <x:v>52704</x:v>
      </x:c>
      <x:c r="L94" s="195" t="n">
        <x:f>K94*(1-J94)</x:f>
        <x:v>48487.68</x:v>
      </x:c>
      <x:c r="M94" s="195" t="n">
        <x:f>L94*(0.74-IF(E94="Healthy",0.04,IF(E94="Beverages",0.06,IF(E94="Desserts",0.05,IF(E94="North Indian",0.01,0)))))</x:f>
        <x:v>35396.0064</x:v>
      </x:c>
      <x:c r="N94" s="195" t="n">
        <x:f>L94-M94</x:f>
        <x:v>13091.673600000002</x:v>
      </x:c>
      <x:c r="O94" s="195" t="n">
        <x:f>L94*0.13</x:f>
        <x:v>6303.3984</x:v>
      </x:c>
      <x:c r="P94" s="195" t="n">
        <x:f>N94-O94</x:f>
        <x:v>6788.275200000002</x:v>
      </x:c>
      <x:c r="Q94" s="195" t="n">
        <x:v>53333.57112706868</x:v>
      </x:c>
    </x:row>
    <x:row r="95">
      <x:c r="A95" s="192" t="str">
        <x:v>ZOM-0091</x:v>
      </x:c>
      <x:c r="B95" s="193" t="n">
        <x:v>45748</x:v>
      </x:c>
      <x:c r="C95" s="236" t="str">
        <x:v>South</x:v>
      </x:c>
      <x:c r="D95" s="192" t="str">
        <x:v>Hyderabad</x:v>
      </x:c>
      <x:c r="E95" s="192" t="str">
        <x:v>Chinese</x:v>
      </x:c>
      <x:c r="F95" s="192" t="str">
        <x:v>Repeat User</x:v>
      </x:c>
      <x:c r="G95" s="192" t="str">
        <x:v>Repeat User Customer 20</x:v>
      </x:c>
      <x:c r="H95" s="194" t="n">
        <x:v>94</x:v>
      </x:c>
      <x:c r="I95" s="195" t="n">
        <x:v>478</x:v>
      </x:c>
      <x:c r="J95" s="196" t="n">
        <x:v>0.05</x:v>
      </x:c>
      <x:c r="K95" s="195" t="n">
        <x:f>H95*I95</x:f>
        <x:v>44932</x:v>
      </x:c>
      <x:c r="L95" s="195" t="n">
        <x:f>K95*(1-J95)</x:f>
        <x:v>42685.4</x:v>
      </x:c>
      <x:c r="M95" s="195" t="n">
        <x:f>L95*(0.74-IF(E95="Healthy",0.04,IF(E95="Beverages",0.06,IF(E95="Desserts",0.05,IF(E95="North Indian",0.01,0)))))</x:f>
        <x:v>31587.196</x:v>
      </x:c>
      <x:c r="N95" s="195" t="n">
        <x:f>L95-M95</x:f>
        <x:v>11098.204000000002</x:v>
      </x:c>
      <x:c r="O95" s="195" t="n">
        <x:f>L95*0.13</x:f>
        <x:v>5549.102000000001</x:v>
      </x:c>
      <x:c r="P95" s="195" t="n">
        <x:f>N95-O95</x:f>
        <x:v>5549.102000000001</x:v>
      </x:c>
      <x:c r="Q95" s="195" t="n">
        <x:v>45996.11689120827</x:v>
      </x:c>
    </x:row>
    <x:row r="96">
      <x:c r="A96" s="192" t="str">
        <x:v>ZOM-0092</x:v>
      </x:c>
      <x:c r="B96" s="193" t="n">
        <x:v>45749</x:v>
      </x:c>
      <x:c r="C96" s="236" t="str">
        <x:v>Central</x:v>
      </x:c>
      <x:c r="D96" s="192" t="str">
        <x:v>Bhopal</x:v>
      </x:c>
      <x:c r="E96" s="192" t="str">
        <x:v>Chinese</x:v>
      </x:c>
      <x:c r="F96" s="192" t="str">
        <x:v>Budget</x:v>
      </x:c>
      <x:c r="G96" s="192" t="str">
        <x:v>Budget Customer 35</x:v>
      </x:c>
      <x:c r="H96" s="194" t="n">
        <x:v>53</x:v>
      </x:c>
      <x:c r="I96" s="195" t="n">
        <x:v>533</x:v>
      </x:c>
      <x:c r="J96" s="196" t="n">
        <x:v>0.1</x:v>
      </x:c>
      <x:c r="K96" s="195" t="n">
        <x:f>H96*I96</x:f>
        <x:v>28249</x:v>
      </x:c>
      <x:c r="L96" s="195" t="n">
        <x:f>K96*(1-J96)</x:f>
        <x:v>25424.100000000002</x:v>
      </x:c>
      <x:c r="M96" s="195" t="n">
        <x:f>L96*(0.74-IF(E96="Healthy",0.04,IF(E96="Beverages",0.06,IF(E96="Desserts",0.05,IF(E96="North Indian",0.01,0)))))</x:f>
        <x:v>18813.834000000003</x:v>
      </x:c>
      <x:c r="N96" s="195" t="n">
        <x:f>L96-M96</x:f>
        <x:v>6610.266</x:v>
      </x:c>
      <x:c r="O96" s="195" t="n">
        <x:f>L96*0.13</x:f>
        <x:v>3305.1330000000003</x:v>
      </x:c>
      <x:c r="P96" s="195" t="n">
        <x:f>N96-O96</x:f>
        <x:v>3305.1329999999994</x:v>
      </x:c>
      <x:c r="Q96" s="195" t="n">
        <x:v>25827.305269667282</x:v>
      </x:c>
    </x:row>
    <x:row r="97">
      <x:c r="A97" s="192" t="str">
        <x:v>ZOM-0093</x:v>
      </x:c>
      <x:c r="B97" s="193" t="n">
        <x:v>45750</x:v>
      </x:c>
      <x:c r="C97" s="236" t="str">
        <x:v>Metro</x:v>
      </x:c>
      <x:c r="D97" s="192" t="str">
        <x:v>Bengaluru</x:v>
      </x:c>
      <x:c r="E97" s="192" t="str">
        <x:v>Chinese</x:v>
      </x:c>
      <x:c r="F97" s="192" t="str">
        <x:v>Student</x:v>
      </x:c>
      <x:c r="G97" s="192" t="str">
        <x:v>Student Customer 52</x:v>
      </x:c>
      <x:c r="H97" s="194" t="n">
        <x:v>76</x:v>
      </x:c>
      <x:c r="I97" s="195" t="n">
        <x:v>409</x:v>
      </x:c>
      <x:c r="J97" s="196" t="n">
        <x:v>0.13</x:v>
      </x:c>
      <x:c r="K97" s="195" t="n">
        <x:f>H97*I97</x:f>
        <x:v>31084</x:v>
      </x:c>
      <x:c r="L97" s="195" t="n">
        <x:f>K97*(1-J97)</x:f>
        <x:v>27043.079999999998</x:v>
      </x:c>
      <x:c r="M97" s="195" t="n">
        <x:f>L97*(0.74-IF(E97="Healthy",0.04,IF(E97="Beverages",0.06,IF(E97="Desserts",0.05,IF(E97="North Indian",0.01,0)))))</x:f>
        <x:v>20011.8792</x:v>
      </x:c>
      <x:c r="N97" s="195" t="n">
        <x:f>L97-M97</x:f>
        <x:v>7031.200799999999</x:v>
      </x:c>
      <x:c r="O97" s="195" t="n">
        <x:f>L97*0.13</x:f>
        <x:v>3515.6004</x:v>
      </x:c>
      <x:c r="P97" s="195" t="n">
        <x:f>N97-O97</x:f>
        <x:v>3515.600399999999</x:v>
      </x:c>
      <x:c r="Q97" s="195" t="n">
        <x:v>29867.66575233406</x:v>
      </x:c>
    </x:row>
    <x:row r="98">
      <x:c r="A98" s="192" t="str">
        <x:v>ZOM-0094</x:v>
      </x:c>
      <x:c r="B98" s="193" t="n">
        <x:v>45751</x:v>
      </x:c>
      <x:c r="C98" s="236" t="str">
        <x:v>North</x:v>
      </x:c>
      <x:c r="D98" s="192" t="str">
        <x:v>Delhi</x:v>
      </x:c>
      <x:c r="E98" s="192" t="str">
        <x:v>North Indian</x:v>
      </x:c>
      <x:c r="F98" s="192" t="str">
        <x:v>Student</x:v>
      </x:c>
      <x:c r="G98" s="192" t="str">
        <x:v>Student Customer 08</x:v>
      </x:c>
      <x:c r="H98" s="194" t="n">
        <x:v>88</x:v>
      </x:c>
      <x:c r="I98" s="195" t="n">
        <x:v>643</x:v>
      </x:c>
      <x:c r="J98" s="196" t="n">
        <x:v>0.12</x:v>
      </x:c>
      <x:c r="K98" s="195" t="n">
        <x:f>H98*I98</x:f>
        <x:v>56584</x:v>
      </x:c>
      <x:c r="L98" s="195" t="n">
        <x:f>K98*(1-J98)</x:f>
        <x:v>49793.92</x:v>
      </x:c>
      <x:c r="M98" s="195" t="n">
        <x:f>L98*(0.74-IF(E98="Healthy",0.04,IF(E98="Beverages",0.06,IF(E98="Desserts",0.05,IF(E98="North Indian",0.01,0)))))</x:f>
        <x:v>36349.5616</x:v>
      </x:c>
      <x:c r="N98" s="195" t="n">
        <x:f>L98-M98</x:f>
        <x:v>13444.358399999997</x:v>
      </x:c>
      <x:c r="O98" s="195" t="n">
        <x:f>L98*0.13</x:f>
        <x:v>6473.2096</x:v>
      </x:c>
      <x:c r="P98" s="195" t="n">
        <x:f>N98-O98</x:f>
        <x:v>6971.148799999997</x:v>
      </x:c>
      <x:c r="Q98" s="195" t="n">
        <x:v>51374.13151525532</x:v>
      </x:c>
    </x:row>
    <x:row r="99">
      <x:c r="A99" s="192" t="str">
        <x:v>ZOM-0095</x:v>
      </x:c>
      <x:c r="B99" s="193" t="n">
        <x:v>45752</x:v>
      </x:c>
      <x:c r="C99" s="236" t="str">
        <x:v>West</x:v>
      </x:c>
      <x:c r="D99" s="192" t="str">
        <x:v>Ahmedabad</x:v>
      </x:c>
      <x:c r="E99" s="192" t="str">
        <x:v>Chinese</x:v>
      </x:c>
      <x:c r="F99" s="192" t="str">
        <x:v>Budget</x:v>
      </x:c>
      <x:c r="G99" s="192" t="str">
        <x:v>Budget Customer 21</x:v>
      </x:c>
      <x:c r="H99" s="194" t="n">
        <x:v>98</x:v>
      </x:c>
      <x:c r="I99" s="195" t="n">
        <x:v>381</x:v>
      </x:c>
      <x:c r="J99" s="196" t="n">
        <x:v>0.1</x:v>
      </x:c>
      <x:c r="K99" s="195" t="n">
        <x:f>H99*I99</x:f>
        <x:v>37338</x:v>
      </x:c>
      <x:c r="L99" s="195" t="n">
        <x:f>K99*(1-J99)</x:f>
        <x:v>33604.200000000004</x:v>
      </x:c>
      <x:c r="M99" s="195" t="n">
        <x:f>L99*(0.74-IF(E99="Healthy",0.04,IF(E99="Beverages",0.06,IF(E99="Desserts",0.05,IF(E99="North Indian",0.01,0)))))</x:f>
        <x:v>24867.108000000004</x:v>
      </x:c>
      <x:c r="N99" s="195" t="n">
        <x:f>L99-M99</x:f>
        <x:v>8737.092</x:v>
      </x:c>
      <x:c r="O99" s="195" t="n">
        <x:f>L99*0.13</x:f>
        <x:v>4368.546</x:v>
      </x:c>
      <x:c r="P99" s="195" t="n">
        <x:f>N99-O99</x:f>
        <x:v>4368.546</x:v>
      </x:c>
      <x:c r="Q99" s="195" t="n">
        <x:v>37407.53331382983</x:v>
      </x:c>
    </x:row>
    <x:row r="100">
      <x:c r="A100" s="192" t="str">
        <x:v>ZOM-0096</x:v>
      </x:c>
      <x:c r="B100" s="193" t="n">
        <x:v>45753</x:v>
      </x:c>
      <x:c r="C100" s="236" t="str">
        <x:v>Metro</x:v>
      </x:c>
      <x:c r="D100" s="192" t="str">
        <x:v>Mumbai</x:v>
      </x:c>
      <x:c r="E100" s="192" t="str">
        <x:v>Burgers</x:v>
      </x:c>
      <x:c r="F100" s="192" t="str">
        <x:v>Corporate</x:v>
      </x:c>
      <x:c r="G100" s="192" t="str">
        <x:v>Corporate Customer 03</x:v>
      </x:c>
      <x:c r="H100" s="194" t="n">
        <x:v>159</x:v>
      </x:c>
      <x:c r="I100" s="195" t="n">
        <x:v>497</x:v>
      </x:c>
      <x:c r="J100" s="196" t="n">
        <x:v>0.02</x:v>
      </x:c>
      <x:c r="K100" s="195" t="n">
        <x:f>H100*I100</x:f>
        <x:v>79023</x:v>
      </x:c>
      <x:c r="L100" s="195" t="n">
        <x:f>K100*(1-J100)</x:f>
        <x:v>77442.54</x:v>
      </x:c>
      <x:c r="M100" s="195" t="n">
        <x:f>L100*(0.74-IF(E100="Healthy",0.04,IF(E100="Beverages",0.06,IF(E100="Desserts",0.05,IF(E100="North Indian",0.01,0)))))</x:f>
        <x:v>57307.47959999999</x:v>
      </x:c>
      <x:c r="N100" s="195" t="n">
        <x:f>L100-M100</x:f>
        <x:v>20135.060400000002</x:v>
      </x:c>
      <x:c r="O100" s="195" t="n">
        <x:f>L100*0.13</x:f>
        <x:v>10067.5302</x:v>
      </x:c>
      <x:c r="P100" s="195" t="n">
        <x:f>N100-O100</x:f>
        <x:v>10067.530200000003</x:v>
      </x:c>
      <x:c r="Q100" s="195" t="n">
        <x:v>77863.95266709315</x:v>
      </x:c>
    </x:row>
    <x:row r="101">
      <x:c r="A101" s="192" t="str">
        <x:v>ZOM-0097</x:v>
      </x:c>
      <x:c r="B101" s="193" t="n">
        <x:v>45754</x:v>
      </x:c>
      <x:c r="C101" s="236" t="str">
        <x:v>South</x:v>
      </x:c>
      <x:c r="D101" s="192" t="str">
        <x:v>Kochi</x:v>
      </x:c>
      <x:c r="E101" s="192" t="str">
        <x:v>North Indian</x:v>
      </x:c>
      <x:c r="F101" s="192" t="str">
        <x:v>Repeat User</x:v>
      </x:c>
      <x:c r="G101" s="192" t="str">
        <x:v>Repeat User Customer 35</x:v>
      </x:c>
      <x:c r="H101" s="194" t="n">
        <x:v>138</x:v>
      </x:c>
      <x:c r="I101" s="195" t="n">
        <x:v>457</x:v>
      </x:c>
      <x:c r="J101" s="196" t="n">
        <x:v>0.060000000000000005</x:v>
      </x:c>
      <x:c r="K101" s="195" t="n">
        <x:f>H101*I101</x:f>
        <x:v>63066</x:v>
      </x:c>
      <x:c r="L101" s="195" t="n">
        <x:f>K101*(1-J101)</x:f>
        <x:v>59282.03999999999</x:v>
      </x:c>
      <x:c r="M101" s="195" t="n">
        <x:f>L101*(0.74-IF(E101="Healthy",0.04,IF(E101="Beverages",0.06,IF(E101="Desserts",0.05,IF(E101="North Indian",0.01,0)))))</x:f>
        <x:v>43275.8892</x:v>
      </x:c>
      <x:c r="N101" s="195" t="n">
        <x:f>L101-M101</x:f>
        <x:v>16006.150799999996</x:v>
      </x:c>
      <x:c r="O101" s="195" t="n">
        <x:f>L101*0.13</x:f>
        <x:v>7706.6651999999995</x:v>
      </x:c>
      <x:c r="P101" s="195" t="n">
        <x:f>N101-O101</x:f>
        <x:v>8299.485599999996</x:v>
      </x:c>
      <x:c r="Q101" s="195" t="n">
        <x:v>64236.71902219461</x:v>
      </x:c>
    </x:row>
    <x:row r="102">
      <x:c r="A102" s="192" t="str">
        <x:v>ZOM-0098</x:v>
      </x:c>
      <x:c r="B102" s="193" t="n">
        <x:v>45755</x:v>
      </x:c>
      <x:c r="C102" s="236" t="str">
        <x:v>West</x:v>
      </x:c>
      <x:c r="D102" s="192" t="str">
        <x:v>Pune</x:v>
      </x:c>
      <x:c r="E102" s="192" t="str">
        <x:v>Beverages</x:v>
      </x:c>
      <x:c r="F102" s="192" t="str">
        <x:v>Corporate</x:v>
      </x:c>
      <x:c r="G102" s="192" t="str">
        <x:v>Corporate Customer 16</x:v>
      </x:c>
      <x:c r="H102" s="194" t="n">
        <x:v>157</x:v>
      </x:c>
      <x:c r="I102" s="195" t="n">
        <x:v>239</x:v>
      </x:c>
      <x:c r="J102" s="196" t="n">
        <x:v>0.02</x:v>
      </x:c>
      <x:c r="K102" s="195" t="n">
        <x:f>H102*I102</x:f>
        <x:v>37523</x:v>
      </x:c>
      <x:c r="L102" s="195" t="n">
        <x:f>K102*(1-J102)</x:f>
        <x:v>36772.54</x:v>
      </x:c>
      <x:c r="M102" s="195" t="n">
        <x:f>L102*(0.74-IF(E102="Healthy",0.04,IF(E102="Beverages",0.06,IF(E102="Desserts",0.05,IF(E102="North Indian",0.01,0)))))</x:f>
        <x:v>25005.3272</x:v>
      </x:c>
      <x:c r="N102" s="195" t="n">
        <x:f>L102-M102</x:f>
        <x:v>11767.212800000001</x:v>
      </x:c>
      <x:c r="O102" s="195" t="n">
        <x:f>L102*0.13</x:f>
        <x:v>4780.430200000001</x:v>
      </x:c>
      <x:c r="P102" s="195" t="n">
        <x:f>N102-O102</x:f>
        <x:v>6986.7826000000005</x:v>
      </x:c>
      <x:c r="Q102" s="195" t="n">
        <x:v>38729.05867209887</x:v>
      </x:c>
    </x:row>
    <x:row r="103">
      <x:c r="A103" s="192" t="str">
        <x:v>ZOM-0099</x:v>
      </x:c>
      <x:c r="B103" s="193" t="n">
        <x:v>45756</x:v>
      </x:c>
      <x:c r="C103" s="236" t="str">
        <x:v>Metro</x:v>
      </x:c>
      <x:c r="D103" s="192" t="str">
        <x:v>Delhi</x:v>
      </x:c>
      <x:c r="E103" s="192" t="str">
        <x:v>Snacks</x:v>
      </x:c>
      <x:c r="F103" s="192" t="str">
        <x:v>Repeat User</x:v>
      </x:c>
      <x:c r="G103" s="192" t="str">
        <x:v>Repeat User Customer 30</x:v>
      </x:c>
      <x:c r="H103" s="194" t="n">
        <x:v>123</x:v>
      </x:c>
      <x:c r="I103" s="195" t="n">
        <x:v>203</x:v>
      </x:c>
      <x:c r="J103" s="196" t="n">
        <x:v>0.05</x:v>
      </x:c>
      <x:c r="K103" s="195" t="n">
        <x:f>H103*I103</x:f>
        <x:v>24969</x:v>
      </x:c>
      <x:c r="L103" s="195" t="n">
        <x:f>K103*(1-J103)</x:f>
        <x:v>23720.55</x:v>
      </x:c>
      <x:c r="M103" s="195" t="n">
        <x:f>L103*(0.74-IF(E103="Healthy",0.04,IF(E103="Beverages",0.06,IF(E103="Desserts",0.05,IF(E103="North Indian",0.01,0)))))</x:f>
        <x:v>17553.207</x:v>
      </x:c>
      <x:c r="N103" s="195" t="n">
        <x:f>L103-M103</x:f>
        <x:v>6167.343000000001</x:v>
      </x:c>
      <x:c r="O103" s="195" t="n">
        <x:f>L103*0.13</x:f>
        <x:v>3083.6715</x:v>
      </x:c>
      <x:c r="P103" s="195" t="n">
        <x:f>N103-O103</x:f>
        <x:v>3083.671500000001</x:v>
      </x:c>
      <x:c r="Q103" s="195" t="n">
        <x:v>26134.447637833462</x:v>
      </x:c>
    </x:row>
    <x:row r="104">
      <x:c r="A104" s="192" t="str">
        <x:v>ZOM-0100</x:v>
      </x:c>
      <x:c r="B104" s="193" t="n">
        <x:v>45757</x:v>
      </x:c>
      <x:c r="C104" s="236" t="str">
        <x:v>North</x:v>
      </x:c>
      <x:c r="D104" s="192" t="str">
        <x:v>Noida</x:v>
      </x:c>
      <x:c r="E104" s="192" t="str">
        <x:v>Burgers</x:v>
      </x:c>
      <x:c r="F104" s="192" t="str">
        <x:v>Corporate</x:v>
      </x:c>
      <x:c r="G104" s="192" t="str">
        <x:v>Corporate Customer 05</x:v>
      </x:c>
      <x:c r="H104" s="194" t="n">
        <x:v>78</x:v>
      </x:c>
      <x:c r="I104" s="195" t="n">
        <x:v>345</x:v>
      </x:c>
      <x:c r="J104" s="196" t="n">
        <x:v>0.02</x:v>
      </x:c>
      <x:c r="K104" s="195" t="n">
        <x:f>H104*I104</x:f>
        <x:v>26910</x:v>
      </x:c>
      <x:c r="L104" s="195" t="n">
        <x:f>K104*(1-J104)</x:f>
        <x:v>26371.8</x:v>
      </x:c>
      <x:c r="M104" s="195" t="n">
        <x:f>L104*(0.74-IF(E104="Healthy",0.04,IF(E104="Beverages",0.06,IF(E104="Desserts",0.05,IF(E104="North Indian",0.01,0)))))</x:f>
        <x:v>19515.131999999998</x:v>
      </x:c>
      <x:c r="N104" s="195" t="n">
        <x:f>L104-M104</x:f>
        <x:v>6856.6680000000015</x:v>
      </x:c>
      <x:c r="O104" s="195" t="n">
        <x:f>L104*0.13</x:f>
        <x:v>3428.334</x:v>
      </x:c>
      <x:c r="P104" s="195" t="n">
        <x:f>N104-O104</x:f>
        <x:v>3428.3340000000017</x:v>
      </x:c>
      <x:c r="Q104" s="195" t="n">
        <x:v>28158.472495805952</x:v>
      </x:c>
    </x:row>
    <x:row r="105">
      <x:c r="A105" s="192" t="str">
        <x:v>ZOM-0101</x:v>
      </x:c>
      <x:c r="B105" s="193" t="n">
        <x:v>45758</x:v>
      </x:c>
      <x:c r="C105" s="236" t="str">
        <x:v>Central</x:v>
      </x:c>
      <x:c r="D105" s="192" t="str">
        <x:v>Varanasi</x:v>
      </x:c>
      <x:c r="E105" s="192" t="str">
        <x:v>Biryani</x:v>
      </x:c>
      <x:c r="F105" s="192" t="str">
        <x:v>Repeat User</x:v>
      </x:c>
      <x:c r="G105" s="192" t="str">
        <x:v>Repeat User Customer 10</x:v>
      </x:c>
      <x:c r="H105" s="194" t="n">
        <x:v>81</x:v>
      </x:c>
      <x:c r="I105" s="195" t="n">
        <x:v>442</x:v>
      </x:c>
      <x:c r="J105" s="196" t="n">
        <x:v>0.05</x:v>
      </x:c>
      <x:c r="K105" s="195" t="n">
        <x:f>H105*I105</x:f>
        <x:v>35802</x:v>
      </x:c>
      <x:c r="L105" s="195" t="n">
        <x:f>K105*(1-J105)</x:f>
        <x:v>34011.9</x:v>
      </x:c>
      <x:c r="M105" s="195" t="n">
        <x:f>L105*(0.74-IF(E105="Healthy",0.04,IF(E105="Beverages",0.06,IF(E105="Desserts",0.05,IF(E105="North Indian",0.01,0)))))</x:f>
        <x:v>25168.806</x:v>
      </x:c>
      <x:c r="N105" s="195" t="n">
        <x:f>L105-M105</x:f>
        <x:v>8843.094000000001</x:v>
      </x:c>
      <x:c r="O105" s="195" t="n">
        <x:f>L105*0.13</x:f>
        <x:v>4421.5470000000005</x:v>
      </x:c>
      <x:c r="P105" s="195" t="n">
        <x:f>N105-O105</x:f>
        <x:v>4421.5470000000005</x:v>
      </x:c>
      <x:c r="Q105" s="195" t="n">
        <x:v>35143.577320060846</x:v>
      </x:c>
    </x:row>
    <x:row r="106">
      <x:c r="A106" s="192" t="str">
        <x:v>ZOM-0102</x:v>
      </x:c>
      <x:c r="B106" s="193" t="n">
        <x:v>45759</x:v>
      </x:c>
      <x:c r="C106" s="236" t="str">
        <x:v>Metro</x:v>
      </x:c>
      <x:c r="D106" s="192" t="str">
        <x:v>Pune</x:v>
      </x:c>
      <x:c r="E106" s="192" t="str">
        <x:v>Biryani</x:v>
      </x:c>
      <x:c r="F106" s="192" t="str">
        <x:v>New User</x:v>
      </x:c>
      <x:c r="G106" s="192" t="str">
        <x:v>New User Customer 12</x:v>
      </x:c>
      <x:c r="H106" s="194" t="n">
        <x:v>74</x:v>
      </x:c>
      <x:c r="I106" s="195" t="n">
        <x:v>403</x:v>
      </x:c>
      <x:c r="J106" s="196" t="n">
        <x:v>0.08</x:v>
      </x:c>
      <x:c r="K106" s="195" t="n">
        <x:f>H106*I106</x:f>
        <x:v>29822</x:v>
      </x:c>
      <x:c r="L106" s="195" t="n">
        <x:f>K106*(1-J106)</x:f>
        <x:v>27436.24</x:v>
      </x:c>
      <x:c r="M106" s="195" t="n">
        <x:f>L106*(0.74-IF(E106="Healthy",0.04,IF(E106="Beverages",0.06,IF(E106="Desserts",0.05,IF(E106="North Indian",0.01,0)))))</x:f>
        <x:v>20302.817600000002</x:v>
      </x:c>
      <x:c r="N106" s="195" t="n">
        <x:f>L106-M106</x:f>
        <x:v>7133.4223999999995</x:v>
      </x:c>
      <x:c r="O106" s="195" t="n">
        <x:f>L106*0.13</x:f>
        <x:v>3566.7112</x:v>
      </x:c>
      <x:c r="P106" s="195" t="n">
        <x:f>N106-O106</x:f>
        <x:v>3566.7111999999993</x:v>
      </x:c>
      <x:c r="Q106" s="195" t="n">
        <x:v>28502.208584264914</x:v>
      </x:c>
    </x:row>
    <x:row r="107">
      <x:c r="A107" s="192" t="str">
        <x:v>ZOM-0103</x:v>
      </x:c>
      <x:c r="B107" s="193" t="n">
        <x:v>45760</x:v>
      </x:c>
      <x:c r="C107" s="236" t="str">
        <x:v>South</x:v>
      </x:c>
      <x:c r="D107" s="192" t="str">
        <x:v>Hyderabad</x:v>
      </x:c>
      <x:c r="E107" s="192" t="str">
        <x:v>Desserts</x:v>
      </x:c>
      <x:c r="F107" s="192" t="str">
        <x:v>Gold User</x:v>
      </x:c>
      <x:c r="G107" s="192" t="str">
        <x:v>Gold User Customer 40</x:v>
      </x:c>
      <x:c r="H107" s="194" t="n">
        <x:v>87</x:v>
      </x:c>
      <x:c r="I107" s="195" t="n">
        <x:v>287</x:v>
      </x:c>
      <x:c r="J107" s="196" t="n">
        <x:v>0.03</x:v>
      </x:c>
      <x:c r="K107" s="195" t="n">
        <x:f>H107*I107</x:f>
        <x:v>24969</x:v>
      </x:c>
      <x:c r="L107" s="195" t="n">
        <x:f>K107*(1-J107)</x:f>
        <x:v>24219.93</x:v>
      </x:c>
      <x:c r="M107" s="195" t="n">
        <x:f>L107*(0.74-IF(E107="Healthy",0.04,IF(E107="Beverages",0.06,IF(E107="Desserts",0.05,IF(E107="North Indian",0.01,0)))))</x:f>
        <x:v>16711.7517</x:v>
      </x:c>
      <x:c r="N107" s="195" t="n">
        <x:f>L107-M107</x:f>
        <x:v>7508.1783</x:v>
      </x:c>
      <x:c r="O107" s="195" t="n">
        <x:f>L107*0.13</x:f>
        <x:v>3148.5909</x:v>
      </x:c>
      <x:c r="P107" s="195" t="n">
        <x:f>N107-O107</x:f>
        <x:v>4359.587399999999</x:v>
      </x:c>
      <x:c r="Q107" s="195" t="n">
        <x:v>25684.28253574852</x:v>
      </x:c>
    </x:row>
    <x:row r="108">
      <x:c r="A108" s="192" t="str">
        <x:v>ZOM-0104</x:v>
      </x:c>
      <x:c r="B108" s="193" t="n">
        <x:v>45761</x:v>
      </x:c>
      <x:c r="C108" s="236" t="str">
        <x:v>North</x:v>
      </x:c>
      <x:c r="D108" s="192" t="str">
        <x:v>Lucknow</x:v>
      </x:c>
      <x:c r="E108" s="192" t="str">
        <x:v>Pizza</x:v>
      </x:c>
      <x:c r="F108" s="192" t="str">
        <x:v>Corporate</x:v>
      </x:c>
      <x:c r="G108" s="192" t="str">
        <x:v>Corporate Customer 46</x:v>
      </x:c>
      <x:c r="H108" s="194" t="n">
        <x:v>79</x:v>
      </x:c>
      <x:c r="I108" s="195" t="n">
        <x:v>525</x:v>
      </x:c>
      <x:c r="J108" s="196" t="n">
        <x:v>0.03</x:v>
      </x:c>
      <x:c r="K108" s="195" t="n">
        <x:f>H108*I108</x:f>
        <x:v>41475</x:v>
      </x:c>
      <x:c r="L108" s="195" t="n">
        <x:f>K108*(1-J108)</x:f>
        <x:v>40230.75</x:v>
      </x:c>
      <x:c r="M108" s="195" t="n">
        <x:f>L108*(0.74-IF(E108="Healthy",0.04,IF(E108="Beverages",0.06,IF(E108="Desserts",0.05,IF(E108="North Indian",0.01,0)))))</x:f>
        <x:v>29770.755</x:v>
      </x:c>
      <x:c r="N108" s="195" t="n">
        <x:f>L108-M108</x:f>
        <x:v>10459.994999999999</x:v>
      </x:c>
      <x:c r="O108" s="195" t="n">
        <x:f>L108*0.13</x:f>
        <x:v>5229.9975</x:v>
      </x:c>
      <x:c r="P108" s="195" t="n">
        <x:f>N108-O108</x:f>
        <x:v>5229.997499999999</x:v>
      </x:c>
      <x:c r="Q108" s="195" t="n">
        <x:v>40751.95624552411</x:v>
      </x:c>
    </x:row>
    <x:row r="109">
      <x:c r="A109" s="192" t="str">
        <x:v>ZOM-0105</x:v>
      </x:c>
      <x:c r="B109" s="193" t="n">
        <x:v>45762</x:v>
      </x:c>
      <x:c r="C109" s="236" t="str">
        <x:v>Metro</x:v>
      </x:c>
      <x:c r="D109" s="192" t="str">
        <x:v>Delhi</x:v>
      </x:c>
      <x:c r="E109" s="192" t="str">
        <x:v>Beverages</x:v>
      </x:c>
      <x:c r="F109" s="192" t="str">
        <x:v>Repeat User</x:v>
      </x:c>
      <x:c r="G109" s="192" t="str">
        <x:v>Repeat User Customer 25</x:v>
      </x:c>
      <x:c r="H109" s="194" t="n">
        <x:v>94</x:v>
      </x:c>
      <x:c r="I109" s="195" t="n">
        <x:v>187</x:v>
      </x:c>
      <x:c r="J109" s="196" t="n">
        <x:v>0.05</x:v>
      </x:c>
      <x:c r="K109" s="195" t="n">
        <x:f>H109*I109</x:f>
        <x:v>17578</x:v>
      </x:c>
      <x:c r="L109" s="195" t="n">
        <x:f>K109*(1-J109)</x:f>
        <x:v>16699.1</x:v>
      </x:c>
      <x:c r="M109" s="195" t="n">
        <x:f>L109*(0.74-IF(E109="Healthy",0.04,IF(E109="Beverages",0.06,IF(E109="Desserts",0.05,IF(E109="North Indian",0.01,0)))))</x:f>
        <x:v>11355.387999999997</x:v>
      </x:c>
      <x:c r="N109" s="195" t="n">
        <x:f>L109-M109</x:f>
        <x:v>5343.712000000001</x:v>
      </x:c>
      <x:c r="O109" s="195" t="n">
        <x:f>L109*0.13</x:f>
        <x:v>2170.883</x:v>
      </x:c>
      <x:c r="P109" s="195" t="n">
        <x:f>N109-O109</x:f>
        <x:v>3172.8290000000015</x:v>
      </x:c>
      <x:c r="Q109" s="195" t="n">
        <x:v>18126.177291536304</x:v>
      </x:c>
    </x:row>
    <x:row r="110">
      <x:c r="A110" s="192" t="str">
        <x:v>ZOM-0106</x:v>
      </x:c>
      <x:c r="B110" s="193" t="n">
        <x:v>45763</x:v>
      </x:c>
      <x:c r="C110" s="236" t="str">
        <x:v>Metro</x:v>
      </x:c>
      <x:c r="D110" s="192" t="str">
        <x:v>Pune</x:v>
      </x:c>
      <x:c r="E110" s="192" t="str">
        <x:v>Pizza</x:v>
      </x:c>
      <x:c r="F110" s="192" t="str">
        <x:v>Gold User</x:v>
      </x:c>
      <x:c r="G110" s="192" t="str">
        <x:v>Gold User Customer 47</x:v>
      </x:c>
      <x:c r="H110" s="194" t="n">
        <x:v>149</x:v>
      </x:c>
      <x:c r="I110" s="195" t="n">
        <x:v>535</x:v>
      </x:c>
      <x:c r="J110" s="196" t="n">
        <x:v>0.009999999999999998</x:v>
      </x:c>
      <x:c r="K110" s="195" t="n">
        <x:f>H110*I110</x:f>
        <x:v>79715</x:v>
      </x:c>
      <x:c r="L110" s="195" t="n">
        <x:f>K110*(1-J110)</x:f>
        <x:v>78917.85</x:v>
      </x:c>
      <x:c r="M110" s="195" t="n">
        <x:f>L110*(0.74-IF(E110="Healthy",0.04,IF(E110="Beverages",0.06,IF(E110="Desserts",0.05,IF(E110="North Indian",0.01,0)))))</x:f>
        <x:v>58399.209</x:v>
      </x:c>
      <x:c r="N110" s="195" t="n">
        <x:f>L110-M110</x:f>
        <x:v>20518.641000000003</x:v>
      </x:c>
      <x:c r="O110" s="195" t="n">
        <x:f>L110*0.13</x:f>
        <x:v>10259.320500000002</x:v>
      </x:c>
      <x:c r="P110" s="195" t="n">
        <x:f>N110-O110</x:f>
        <x:v>10259.320500000002</x:v>
      </x:c>
      <x:c r="Q110" s="195" t="n">
        <x:v>86200.03624679956</x:v>
      </x:c>
    </x:row>
    <x:row r="111">
      <x:c r="A111" s="192" t="str">
        <x:v>ZOM-0107</x:v>
      </x:c>
      <x:c r="B111" s="193" t="n">
        <x:v>45764</x:v>
      </x:c>
      <x:c r="C111" s="236" t="str">
        <x:v>Metro</x:v>
      </x:c>
      <x:c r="D111" s="192" t="str">
        <x:v>Hyderabad</x:v>
      </x:c>
      <x:c r="E111" s="192" t="str">
        <x:v>South Indian</x:v>
      </x:c>
      <x:c r="F111" s="192" t="str">
        <x:v>Repeat User</x:v>
      </x:c>
      <x:c r="G111" s="192" t="str">
        <x:v>Repeat User Customer 43</x:v>
      </x:c>
      <x:c r="H111" s="194" t="n">
        <x:v>121</x:v>
      </x:c>
      <x:c r="I111" s="195" t="n">
        <x:v>423</x:v>
      </x:c>
      <x:c r="J111" s="196" t="n">
        <x:v>0.060000000000000005</x:v>
      </x:c>
      <x:c r="K111" s="195" t="n">
        <x:f>H111*I111</x:f>
        <x:v>51183</x:v>
      </x:c>
      <x:c r="L111" s="195" t="n">
        <x:f>K111*(1-J111)</x:f>
        <x:v>48112.02</x:v>
      </x:c>
      <x:c r="M111" s="195" t="n">
        <x:f>L111*(0.74-IF(E111="Healthy",0.04,IF(E111="Beverages",0.06,IF(E111="Desserts",0.05,IF(E111="North Indian",0.01,0)))))</x:f>
        <x:v>35602.894799999995</x:v>
      </x:c>
      <x:c r="N111" s="195" t="n">
        <x:f>L111-M111</x:f>
        <x:v>12509.125200000002</x:v>
      </x:c>
      <x:c r="O111" s="195" t="n">
        <x:f>L111*0.13</x:f>
        <x:v>6254.5626</x:v>
      </x:c>
      <x:c r="P111" s="195" t="n">
        <x:f>N111-O111</x:f>
        <x:v>6254.562600000002</x:v>
      </x:c>
      <x:c r="Q111" s="195" t="n">
        <x:v>50575.91740854088</x:v>
      </x:c>
    </x:row>
    <x:row r="112">
      <x:c r="A112" s="192" t="str">
        <x:v>ZOM-0108</x:v>
      </x:c>
      <x:c r="B112" s="193" t="n">
        <x:v>45765</x:v>
      </x:c>
      <x:c r="C112" s="236" t="str">
        <x:v>South</x:v>
      </x:c>
      <x:c r="D112" s="192" t="str">
        <x:v>Hyderabad</x:v>
      </x:c>
      <x:c r="E112" s="192" t="str">
        <x:v>Burgers</x:v>
      </x:c>
      <x:c r="F112" s="192" t="str">
        <x:v>Gold User</x:v>
      </x:c>
      <x:c r="G112" s="192" t="str">
        <x:v>Gold User Customer 09</x:v>
      </x:c>
      <x:c r="H112" s="194" t="n">
        <x:v>90</x:v>
      </x:c>
      <x:c r="I112" s="195" t="n">
        <x:v>483</x:v>
      </x:c>
      <x:c r="J112" s="196" t="n">
        <x:v>0.009999999999999998</x:v>
      </x:c>
      <x:c r="K112" s="195" t="n">
        <x:f>H112*I112</x:f>
        <x:v>43470</x:v>
      </x:c>
      <x:c r="L112" s="195" t="n">
        <x:f>K112*(1-J112)</x:f>
        <x:v>43035.3</x:v>
      </x:c>
      <x:c r="M112" s="195" t="n">
        <x:f>L112*(0.74-IF(E112="Healthy",0.04,IF(E112="Beverages",0.06,IF(E112="Desserts",0.05,IF(E112="North Indian",0.01,0)))))</x:f>
        <x:v>31846.122000000003</x:v>
      </x:c>
      <x:c r="N112" s="195" t="n">
        <x:f>L112-M112</x:f>
        <x:v>11189.178</x:v>
      </x:c>
      <x:c r="O112" s="195" t="n">
        <x:f>L112*0.13</x:f>
        <x:v>5594.589000000001</x:v>
      </x:c>
      <x:c r="P112" s="195" t="n">
        <x:f>N112-O112</x:f>
        <x:v>5594.588999999999</x:v>
      </x:c>
      <x:c r="Q112" s="195" t="n">
        <x:v>44959.736326475984</x:v>
      </x:c>
    </x:row>
    <x:row r="113">
      <x:c r="A113" s="192" t="str">
        <x:v>ZOM-0109</x:v>
      </x:c>
      <x:c r="B113" s="193" t="n">
        <x:v>45766</x:v>
      </x:c>
      <x:c r="C113" s="236" t="str">
        <x:v>West</x:v>
      </x:c>
      <x:c r="D113" s="192" t="str">
        <x:v>Nagpur</x:v>
      </x:c>
      <x:c r="E113" s="192" t="str">
        <x:v>Snacks</x:v>
      </x:c>
      <x:c r="F113" s="192" t="str">
        <x:v>Corporate</x:v>
      </x:c>
      <x:c r="G113" s="192" t="str">
        <x:v>Corporate Customer 39</x:v>
      </x:c>
      <x:c r="H113" s="194" t="n">
        <x:v>101</x:v>
      </x:c>
      <x:c r="I113" s="195" t="n">
        <x:v>239</x:v>
      </x:c>
      <x:c r="J113" s="196" t="n">
        <x:v>0.03</x:v>
      </x:c>
      <x:c r="K113" s="195" t="n">
        <x:f>H113*I113</x:f>
        <x:v>24139</x:v>
      </x:c>
      <x:c r="L113" s="195" t="n">
        <x:f>K113*(1-J113)</x:f>
        <x:v>23414.829999999998</x:v>
      </x:c>
      <x:c r="M113" s="195" t="n">
        <x:f>L113*(0.74-IF(E113="Healthy",0.04,IF(E113="Beverages",0.06,IF(E113="Desserts",0.05,IF(E113="North Indian",0.01,0)))))</x:f>
        <x:v>17326.974199999997</x:v>
      </x:c>
      <x:c r="N113" s="195" t="n">
        <x:f>L113-M113</x:f>
        <x:v>6087.855800000001</x:v>
      </x:c>
      <x:c r="O113" s="195" t="n">
        <x:f>L113*0.13</x:f>
        <x:v>3043.9278999999997</x:v>
      </x:c>
      <x:c r="P113" s="195" t="n">
        <x:f>N113-O113</x:f>
        <x:v>3043.9279000000015</x:v>
      </x:c>
      <x:c r="Q113" s="195" t="n">
        <x:v>26135.816702068223</x:v>
      </x:c>
    </x:row>
    <x:row r="114">
      <x:c r="A114" s="192" t="str">
        <x:v>ZOM-0110</x:v>
      </x:c>
      <x:c r="B114" s="193" t="n">
        <x:v>45767</x:v>
      </x:c>
      <x:c r="C114" s="236" t="str">
        <x:v>South</x:v>
      </x:c>
      <x:c r="D114" s="192" t="str">
        <x:v>Bengaluru</x:v>
      </x:c>
      <x:c r="E114" s="192" t="str">
        <x:v>Chinese</x:v>
      </x:c>
      <x:c r="F114" s="192" t="str">
        <x:v>Repeat User</x:v>
      </x:c>
      <x:c r="G114" s="192" t="str">
        <x:v>Repeat User Customer 18</x:v>
      </x:c>
      <x:c r="H114" s="194" t="n">
        <x:v>131</x:v>
      </x:c>
      <x:c r="I114" s="195" t="n">
        <x:v>403</x:v>
      </x:c>
      <x:c r="J114" s="196" t="n">
        <x:v>0.030000000000000002</x:v>
      </x:c>
      <x:c r="K114" s="195" t="n">
        <x:f>H114*I114</x:f>
        <x:v>52793</x:v>
      </x:c>
      <x:c r="L114" s="195" t="n">
        <x:f>K114*(1-J114)</x:f>
        <x:v>51209.21</x:v>
      </x:c>
      <x:c r="M114" s="195" t="n">
        <x:f>L114*(0.74-IF(E114="Healthy",0.04,IF(E114="Beverages",0.06,IF(E114="Desserts",0.05,IF(E114="North Indian",0.01,0)))))</x:f>
        <x:v>37894.8154</x:v>
      </x:c>
      <x:c r="N114" s="195" t="n">
        <x:f>L114-M114</x:f>
        <x:v>13314.3946</x:v>
      </x:c>
      <x:c r="O114" s="195" t="n">
        <x:f>L114*0.13</x:f>
        <x:v>6657.1973</x:v>
      </x:c>
      <x:c r="P114" s="195" t="n">
        <x:f>N114-O114</x:f>
        <x:v>6657.1973</x:v>
      </x:c>
      <x:c r="Q114" s="195" t="n">
        <x:v>51915.19233757873</x:v>
      </x:c>
    </x:row>
    <x:row r="115">
      <x:c r="A115" s="192" t="str">
        <x:v>ZOM-0111</x:v>
      </x:c>
      <x:c r="B115" s="193" t="n">
        <x:v>45768</x:v>
      </x:c>
      <x:c r="C115" s="236" t="str">
        <x:v>West</x:v>
      </x:c>
      <x:c r="D115" s="192" t="str">
        <x:v>Surat</x:v>
      </x:c>
      <x:c r="E115" s="192" t="str">
        <x:v>Healthy</x:v>
      </x:c>
      <x:c r="F115" s="192" t="str">
        <x:v>Student</x:v>
      </x:c>
      <x:c r="G115" s="192" t="str">
        <x:v>Student Customer 02</x:v>
      </x:c>
      <x:c r="H115" s="194" t="n">
        <x:v>119</x:v>
      </x:c>
      <x:c r="I115" s="195" t="n">
        <x:v>423</x:v>
      </x:c>
      <x:c r="J115" s="196" t="n">
        <x:v>0.09999999999999999</x:v>
      </x:c>
      <x:c r="K115" s="195" t="n">
        <x:f>H115*I115</x:f>
        <x:v>50337</x:v>
      </x:c>
      <x:c r="L115" s="195" t="n">
        <x:f>K115*(1-J115)</x:f>
        <x:v>45303.3</x:v>
      </x:c>
      <x:c r="M115" s="195" t="n">
        <x:f>L115*(0.74-IF(E115="Healthy",0.04,IF(E115="Beverages",0.06,IF(E115="Desserts",0.05,IF(E115="North Indian",0.01,0)))))</x:f>
        <x:v>31712.31</x:v>
      </x:c>
      <x:c r="N115" s="195" t="n">
        <x:f>L115-M115</x:f>
        <x:v>13590.990000000002</x:v>
      </x:c>
      <x:c r="O115" s="195" t="n">
        <x:f>L115*0.13</x:f>
        <x:v>5889.429000000001</x:v>
      </x:c>
      <x:c r="P115" s="195" t="n">
        <x:f>N115-O115</x:f>
        <x:v>7701.561000000001</x:v>
      </x:c>
      <x:c r="Q115" s="195" t="n">
        <x:v>49073.28399177376</x:v>
      </x:c>
    </x:row>
    <x:row r="116">
      <x:c r="A116" s="192" t="str">
        <x:v>ZOM-0112</x:v>
      </x:c>
      <x:c r="B116" s="193" t="n">
        <x:v>45769</x:v>
      </x:c>
      <x:c r="C116" s="236" t="str">
        <x:v>South</x:v>
      </x:c>
      <x:c r="D116" s="192" t="str">
        <x:v>Chennai</x:v>
      </x:c>
      <x:c r="E116" s="192" t="str">
        <x:v>Beverages</x:v>
      </x:c>
      <x:c r="F116" s="192" t="str">
        <x:v>Repeat User</x:v>
      </x:c>
      <x:c r="G116" s="192" t="str">
        <x:v>Repeat User Customer 06</x:v>
      </x:c>
      <x:c r="H116" s="194" t="n">
        <x:v>93</x:v>
      </x:c>
      <x:c r="I116" s="195" t="n">
        <x:v>263</x:v>
      </x:c>
      <x:c r="J116" s="196" t="n">
        <x:v>0.060000000000000005</x:v>
      </x:c>
      <x:c r="K116" s="195" t="n">
        <x:f>H116*I116</x:f>
        <x:v>24459</x:v>
      </x:c>
      <x:c r="L116" s="195" t="n">
        <x:f>K116*(1-J116)</x:f>
        <x:v>22991.46</x:v>
      </x:c>
      <x:c r="M116" s="195" t="n">
        <x:f>L116*(0.74-IF(E116="Healthy",0.04,IF(E116="Beverages",0.06,IF(E116="Desserts",0.05,IF(E116="North Indian",0.01,0)))))</x:f>
        <x:v>15634.192799999997</x:v>
      </x:c>
      <x:c r="N116" s="195" t="n">
        <x:f>L116-M116</x:f>
        <x:v>7357.267200000002</x:v>
      </x:c>
      <x:c r="O116" s="195" t="n">
        <x:f>L116*0.13</x:f>
        <x:v>2988.8898</x:v>
      </x:c>
      <x:c r="P116" s="195" t="n">
        <x:f>N116-O116</x:f>
        <x:v>4368.377400000002</x:v>
      </x:c>
      <x:c r="Q116" s="195" t="n">
        <x:v>25672.660568557472</x:v>
      </x:c>
    </x:row>
    <x:row r="117">
      <x:c r="A117" s="192" t="str">
        <x:v>ZOM-0113</x:v>
      </x:c>
      <x:c r="B117" s="193" t="n">
        <x:v>45770</x:v>
      </x:c>
      <x:c r="C117" s="236" t="str">
        <x:v>Central</x:v>
      </x:c>
      <x:c r="D117" s="192" t="str">
        <x:v>Indore</x:v>
      </x:c>
      <x:c r="E117" s="192" t="str">
        <x:v>Pizza</x:v>
      </x:c>
      <x:c r="F117" s="192" t="str">
        <x:v>Gold User</x:v>
      </x:c>
      <x:c r="G117" s="192" t="str">
        <x:v>Gold User Customer 04</x:v>
      </x:c>
      <x:c r="H117" s="194" t="n">
        <x:v>82</x:v>
      </x:c>
      <x:c r="I117" s="195" t="n">
        <x:v>607</x:v>
      </x:c>
      <x:c r="J117" s="196" t="n">
        <x:v>0.03</x:v>
      </x:c>
      <x:c r="K117" s="195" t="n">
        <x:f>H117*I117</x:f>
        <x:v>49774</x:v>
      </x:c>
      <x:c r="L117" s="195" t="n">
        <x:f>K117*(1-J117)</x:f>
        <x:v>48280.78</x:v>
      </x:c>
      <x:c r="M117" s="195" t="n">
        <x:f>L117*(0.74-IF(E117="Healthy",0.04,IF(E117="Beverages",0.06,IF(E117="Desserts",0.05,IF(E117="North Indian",0.01,0)))))</x:f>
        <x:v>35727.7772</x:v>
      </x:c>
      <x:c r="N117" s="195" t="n">
        <x:f>L117-M117</x:f>
        <x:v>12553.002800000002</x:v>
      </x:c>
      <x:c r="O117" s="195" t="n">
        <x:f>L117*0.13</x:f>
        <x:v>6276.5014</x:v>
      </x:c>
      <x:c r="P117" s="195" t="n">
        <x:f>N117-O117</x:f>
        <x:v>6276.501400000002</x:v>
      </x:c>
      <x:c r="Q117" s="195" t="n">
        <x:v>48772.99505879073</x:v>
      </x:c>
    </x:row>
    <x:row r="118">
      <x:c r="A118" s="192" t="str">
        <x:v>ZOM-0114</x:v>
      </x:c>
      <x:c r="B118" s="193" t="n">
        <x:v>45771</x:v>
      </x:c>
      <x:c r="C118" s="236" t="str">
        <x:v>North</x:v>
      </x:c>
      <x:c r="D118" s="192" t="str">
        <x:v>Lucknow</x:v>
      </x:c>
      <x:c r="E118" s="192" t="str">
        <x:v>North Indian</x:v>
      </x:c>
      <x:c r="F118" s="192" t="str">
        <x:v>New User</x:v>
      </x:c>
      <x:c r="G118" s="192" t="str">
        <x:v>New User Customer 33</x:v>
      </x:c>
      <x:c r="H118" s="194" t="n">
        <x:v>112</x:v>
      </x:c>
      <x:c r="I118" s="195" t="n">
        <x:v>574</x:v>
      </x:c>
      <x:c r="J118" s="196" t="n">
        <x:v>0.09</x:v>
      </x:c>
      <x:c r="K118" s="195" t="n">
        <x:f>H118*I118</x:f>
        <x:v>64288</x:v>
      </x:c>
      <x:c r="L118" s="195" t="n">
        <x:f>K118*(1-J118)</x:f>
        <x:v>58502.08</x:v>
      </x:c>
      <x:c r="M118" s="195" t="n">
        <x:f>L118*(0.74-IF(E118="Healthy",0.04,IF(E118="Beverages",0.06,IF(E118="Desserts",0.05,IF(E118="North Indian",0.01,0)))))</x:f>
        <x:v>42706.5184</x:v>
      </x:c>
      <x:c r="N118" s="195" t="n">
        <x:f>L118-M118</x:f>
        <x:v>15795.5616</x:v>
      </x:c>
      <x:c r="O118" s="195" t="n">
        <x:f>L118*0.13</x:f>
        <x:v>7605.2704</x:v>
      </x:c>
      <x:c r="P118" s="195" t="n">
        <x:f>N118-O118</x:f>
        <x:v>8190.291200000001</x:v>
      </x:c>
      <x:c r="Q118" s="195" t="n">
        <x:v>60015.42794268473</x:v>
      </x:c>
    </x:row>
    <x:row r="119">
      <x:c r="A119" s="192" t="str">
        <x:v>ZOM-0115</x:v>
      </x:c>
      <x:c r="B119" s="193" t="n">
        <x:v>45772</x:v>
      </x:c>
      <x:c r="C119" s="236" t="str">
        <x:v>North</x:v>
      </x:c>
      <x:c r="D119" s="192" t="str">
        <x:v>Jaipur</x:v>
      </x:c>
      <x:c r="E119" s="192" t="str">
        <x:v>North Indian</x:v>
      </x:c>
      <x:c r="F119" s="192" t="str">
        <x:v>Budget</x:v>
      </x:c>
      <x:c r="G119" s="192" t="str">
        <x:v>Budget Customer 01</x:v>
      </x:c>
      <x:c r="H119" s="194" t="n">
        <x:v>111</x:v>
      </x:c>
      <x:c r="I119" s="195" t="n">
        <x:v>535</x:v>
      </x:c>
      <x:c r="J119" s="196" t="n">
        <x:v>0.1</x:v>
      </x:c>
      <x:c r="K119" s="195" t="n">
        <x:f>H119*I119</x:f>
        <x:v>59385</x:v>
      </x:c>
      <x:c r="L119" s="195" t="n">
        <x:f>K119*(1-J119)</x:f>
        <x:v>53446.5</x:v>
      </x:c>
      <x:c r="M119" s="195" t="n">
        <x:f>L119*(0.74-IF(E119="Healthy",0.04,IF(E119="Beverages",0.06,IF(E119="Desserts",0.05,IF(E119="North Indian",0.01,0)))))</x:f>
        <x:v>39015.945</x:v>
      </x:c>
      <x:c r="N119" s="195" t="n">
        <x:f>L119-M119</x:f>
        <x:v>14430.555</x:v>
      </x:c>
      <x:c r="O119" s="195" t="n">
        <x:f>L119*0.13</x:f>
        <x:v>6948.045</x:v>
      </x:c>
      <x:c r="P119" s="195" t="n">
        <x:f>N119-O119</x:f>
        <x:v>7482.51</x:v>
      </x:c>
      <x:c r="Q119" s="195" t="n">
        <x:v>57290.31855735979</x:v>
      </x:c>
    </x:row>
    <x:row r="120">
      <x:c r="A120" s="192" t="str">
        <x:v>ZOM-0116</x:v>
      </x:c>
      <x:c r="B120" s="193" t="n">
        <x:v>45773</x:v>
      </x:c>
      <x:c r="C120" s="236" t="str">
        <x:v>South</x:v>
      </x:c>
      <x:c r="D120" s="192" t="str">
        <x:v>Hyderabad</x:v>
      </x:c>
      <x:c r="E120" s="192" t="str">
        <x:v>Desserts</x:v>
      </x:c>
      <x:c r="F120" s="192" t="str">
        <x:v>Budget</x:v>
      </x:c>
      <x:c r="G120" s="192" t="str">
        <x:v>Budget Customer 35</x:v>
      </x:c>
      <x:c r="H120" s="194" t="n">
        <x:v>87</x:v>
      </x:c>
      <x:c r="I120" s="195" t="n">
        <x:v>269</x:v>
      </x:c>
      <x:c r="J120" s="196" t="n">
        <x:v>0.08</x:v>
      </x:c>
      <x:c r="K120" s="195" t="n">
        <x:f>H120*I120</x:f>
        <x:v>23403</x:v>
      </x:c>
      <x:c r="L120" s="195" t="n">
        <x:f>K120*(1-J120)</x:f>
        <x:v>21530.760000000002</x:v>
      </x:c>
      <x:c r="M120" s="195" t="n">
        <x:f>L120*(0.74-IF(E120="Healthy",0.04,IF(E120="Beverages",0.06,IF(E120="Desserts",0.05,IF(E120="North Indian",0.01,0)))))</x:f>
        <x:v>14856.224400000001</x:v>
      </x:c>
      <x:c r="N120" s="195" t="n">
        <x:f>L120-M120</x:f>
        <x:v>6674.535600000001</x:v>
      </x:c>
      <x:c r="O120" s="195" t="n">
        <x:f>L120*0.13</x:f>
        <x:v>2798.9988000000003</x:v>
      </x:c>
      <x:c r="P120" s="195" t="n">
        <x:f>N120-O120</x:f>
        <x:v>3875.5368000000008</x:v>
      </x:c>
      <x:c r="Q120" s="195" t="n">
        <x:v>21864.535960801113</x:v>
      </x:c>
    </x:row>
    <x:row r="121">
      <x:c r="A121" s="192" t="str">
        <x:v>ZOM-0117</x:v>
      </x:c>
      <x:c r="B121" s="193" t="n">
        <x:v>45774</x:v>
      </x:c>
      <x:c r="C121" s="236" t="str">
        <x:v>East</x:v>
      </x:c>
      <x:c r="D121" s="192" t="str">
        <x:v>Guwahati</x:v>
      </x:c>
      <x:c r="E121" s="192" t="str">
        <x:v>Chinese</x:v>
      </x:c>
      <x:c r="F121" s="192" t="str">
        <x:v>Budget</x:v>
      </x:c>
      <x:c r="G121" s="192" t="str">
        <x:v>Budget Customer 21</x:v>
      </x:c>
      <x:c r="H121" s="194" t="n">
        <x:v>79</x:v>
      </x:c>
      <x:c r="I121" s="195" t="n">
        <x:v>374</x:v>
      </x:c>
      <x:c r="J121" s="196" t="n">
        <x:v>0.08</x:v>
      </x:c>
      <x:c r="K121" s="195" t="n">
        <x:f>H121*I121</x:f>
        <x:v>29546</x:v>
      </x:c>
      <x:c r="L121" s="195" t="n">
        <x:f>K121*(1-J121)</x:f>
        <x:v>27182.32</x:v>
      </x:c>
      <x:c r="M121" s="195" t="n">
        <x:f>L121*(0.74-IF(E121="Healthy",0.04,IF(E121="Beverages",0.06,IF(E121="Desserts",0.05,IF(E121="North Indian",0.01,0)))))</x:f>
        <x:v>20114.9168</x:v>
      </x:c>
      <x:c r="N121" s="195" t="n">
        <x:f>L121-M121</x:f>
        <x:v>7067.403200000001</x:v>
      </x:c>
      <x:c r="O121" s="195" t="n">
        <x:f>L121*0.13</x:f>
        <x:v>3533.7016</x:v>
      </x:c>
      <x:c r="P121" s="195" t="n">
        <x:f>N121-O121</x:f>
        <x:v>3533.701600000001</x:v>
      </x:c>
      <x:c r="Q121" s="195" t="n">
        <x:v>27436.298371845118</x:v>
      </x:c>
    </x:row>
    <x:row r="122">
      <x:c r="A122" s="192" t="str">
        <x:v>ZOM-0118</x:v>
      </x:c>
      <x:c r="B122" s="193" t="n">
        <x:v>45775</x:v>
      </x:c>
      <x:c r="C122" s="236" t="str">
        <x:v>West</x:v>
      </x:c>
      <x:c r="D122" s="192" t="str">
        <x:v>Nagpur</x:v>
      </x:c>
      <x:c r="E122" s="192" t="str">
        <x:v>South Indian</x:v>
      </x:c>
      <x:c r="F122" s="192" t="str">
        <x:v>Corporate</x:v>
      </x:c>
      <x:c r="G122" s="192" t="str">
        <x:v>Corporate Customer 30</x:v>
      </x:c>
      <x:c r="H122" s="194" t="n">
        <x:v>128</x:v>
      </x:c>
      <x:c r="I122" s="195" t="n">
        <x:v>313</x:v>
      </x:c>
      <x:c r="J122" s="196" t="n">
        <x:v>0</x:v>
      </x:c>
      <x:c r="K122" s="195" t="n">
        <x:f>H122*I122</x:f>
        <x:v>40064</x:v>
      </x:c>
      <x:c r="L122" s="195" t="n">
        <x:f>K122*(1-J122)</x:f>
        <x:v>40064</x:v>
      </x:c>
      <x:c r="M122" s="195" t="n">
        <x:f>L122*(0.74-IF(E122="Healthy",0.04,IF(E122="Beverages",0.06,IF(E122="Desserts",0.05,IF(E122="North Indian",0.01,0)))))</x:f>
        <x:v>29647.36</x:v>
      </x:c>
      <x:c r="N122" s="195" t="n">
        <x:f>L122-M122</x:f>
        <x:v>10416.64</x:v>
      </x:c>
      <x:c r="O122" s="195" t="n">
        <x:f>L122*0.13</x:f>
        <x:v>5208.320000000001</x:v>
      </x:c>
      <x:c r="P122" s="195" t="n">
        <x:f>N122-O122</x:f>
        <x:v>5208.319999999999</x:v>
      </x:c>
      <x:c r="Q122" s="195" t="n">
        <x:v>44619.82636266402</x:v>
      </x:c>
    </x:row>
    <x:row r="123">
      <x:c r="A123" s="192" t="str">
        <x:v>ZOM-0119</x:v>
      </x:c>
      <x:c r="B123" s="193" t="n">
        <x:v>45776</x:v>
      </x:c>
      <x:c r="C123" s="236" t="str">
        <x:v>Metro</x:v>
      </x:c>
      <x:c r="D123" s="192" t="str">
        <x:v>Bengaluru</x:v>
      </x:c>
      <x:c r="E123" s="192" t="str">
        <x:v>North Indian</x:v>
      </x:c>
      <x:c r="F123" s="192" t="str">
        <x:v>Student</x:v>
      </x:c>
      <x:c r="G123" s="192" t="str">
        <x:v>Student Customer 22</x:v>
      </x:c>
      <x:c r="H123" s="194" t="n">
        <x:v>84</x:v>
      </x:c>
      <x:c r="I123" s="195" t="n">
        <x:v>524</x:v>
      </x:c>
      <x:c r="J123" s="196" t="n">
        <x:v>0.13</x:v>
      </x:c>
      <x:c r="K123" s="195" t="n">
        <x:f>H123*I123</x:f>
        <x:v>44016</x:v>
      </x:c>
      <x:c r="L123" s="195" t="n">
        <x:f>K123*(1-J123)</x:f>
        <x:v>38293.92</x:v>
      </x:c>
      <x:c r="M123" s="195" t="n">
        <x:f>L123*(0.74-IF(E123="Healthy",0.04,IF(E123="Beverages",0.06,IF(E123="Desserts",0.05,IF(E123="North Indian",0.01,0)))))</x:f>
        <x:v>27954.561599999997</x:v>
      </x:c>
      <x:c r="N123" s="195" t="n">
        <x:f>L123-M123</x:f>
        <x:v>10339.358400000001</x:v>
      </x:c>
      <x:c r="O123" s="195" t="n">
        <x:f>L123*0.13</x:f>
        <x:v>4978.2096</x:v>
      </x:c>
      <x:c r="P123" s="195" t="n">
        <x:f>N123-O123</x:f>
        <x:v>5361.148800000001</x:v>
      </x:c>
      <x:c r="Q123" s="195" t="n">
        <x:v>39719.71550987731</x:v>
      </x:c>
    </x:row>
    <x:row r="124">
      <x:c r="A124" s="192" t="str">
        <x:v>ZOM-0120</x:v>
      </x:c>
      <x:c r="B124" s="193" t="n">
        <x:v>45777</x:v>
      </x:c>
      <x:c r="C124" s="236" t="str">
        <x:v>South</x:v>
      </x:c>
      <x:c r="D124" s="192" t="str">
        <x:v>Hyderabad</x:v>
      </x:c>
      <x:c r="E124" s="192" t="str">
        <x:v>North Indian</x:v>
      </x:c>
      <x:c r="F124" s="192" t="str">
        <x:v>Corporate</x:v>
      </x:c>
      <x:c r="G124" s="192" t="str">
        <x:v>Corporate Customer 10</x:v>
      </x:c>
      <x:c r="H124" s="194" t="n">
        <x:v>158</x:v>
      </x:c>
      <x:c r="I124" s="195" t="n">
        <x:v>540</x:v>
      </x:c>
      <x:c r="J124" s="196" t="n">
        <x:v>0.02</x:v>
      </x:c>
      <x:c r="K124" s="195" t="n">
        <x:f>H124*I124</x:f>
        <x:v>85320</x:v>
      </x:c>
      <x:c r="L124" s="195" t="n">
        <x:f>K124*(1-J124)</x:f>
        <x:v>83613.59999999999</x:v>
      </x:c>
      <x:c r="M124" s="195" t="n">
        <x:f>L124*(0.74-IF(E124="Healthy",0.04,IF(E124="Beverages",0.06,IF(E124="Desserts",0.05,IF(E124="North Indian",0.01,0)))))</x:f>
        <x:v>61037.92799999999</x:v>
      </x:c>
      <x:c r="N124" s="195" t="n">
        <x:f>L124-M124</x:f>
        <x:v>22575.672</x:v>
      </x:c>
      <x:c r="O124" s="195" t="n">
        <x:f>L124*0.13</x:f>
        <x:v>10869.768</x:v>
      </x:c>
      <x:c r="P124" s="195" t="n">
        <x:f>N124-O124</x:f>
        <x:v>11705.903999999999</x:v>
      </x:c>
      <x:c r="Q124" s="195" t="n">
        <x:v>90089.73729987016</x:v>
      </x:c>
    </x:row>
    <x:row r="125">
      <x:c r="A125" s="192" t="str">
        <x:v>ZOM-0121</x:v>
      </x:c>
      <x:c r="B125" s="193" t="n">
        <x:v>45778</x:v>
      </x:c>
      <x:c r="C125" s="236" t="str">
        <x:v>South</x:v>
      </x:c>
      <x:c r="D125" s="192" t="str">
        <x:v>Hyderabad</x:v>
      </x:c>
      <x:c r="E125" s="192" t="str">
        <x:v>Biryani</x:v>
      </x:c>
      <x:c r="F125" s="192" t="str">
        <x:v>New User</x:v>
      </x:c>
      <x:c r="G125" s="192" t="str">
        <x:v>New User Customer 49</x:v>
      </x:c>
      <x:c r="H125" s="194" t="n">
        <x:v>87</x:v>
      </x:c>
      <x:c r="I125" s="195" t="n">
        <x:v>528</x:v>
      </x:c>
      <x:c r="J125" s="196" t="n">
        <x:v>0.06</x:v>
      </x:c>
      <x:c r="K125" s="195" t="n">
        <x:f>H125*I125</x:f>
        <x:v>45936</x:v>
      </x:c>
      <x:c r="L125" s="195" t="n">
        <x:f>K125*(1-J125)</x:f>
        <x:v>43179.84</x:v>
      </x:c>
      <x:c r="M125" s="195" t="n">
        <x:f>L125*(0.74-IF(E125="Healthy",0.04,IF(E125="Beverages",0.06,IF(E125="Desserts",0.05,IF(E125="North Indian",0.01,0)))))</x:f>
        <x:v>31953.081599999998</x:v>
      </x:c>
      <x:c r="N125" s="195" t="n">
        <x:f>L125-M125</x:f>
        <x:v>11226.758399999999</x:v>
      </x:c>
      <x:c r="O125" s="195" t="n">
        <x:f>L125*0.13</x:f>
        <x:v>5613.379199999999</x:v>
      </x:c>
      <x:c r="P125" s="195" t="n">
        <x:f>N125-O125</x:f>
        <x:v>5613.379199999999</x:v>
      </x:c>
      <x:c r="Q125" s="195" t="n">
        <x:v>45740.14728978322</x:v>
      </x:c>
    </x:row>
    <x:row r="126">
      <x:c r="A126" s="192" t="str">
        <x:v>ZOM-0122</x:v>
      </x:c>
      <x:c r="B126" s="193" t="n">
        <x:v>45779</x:v>
      </x:c>
      <x:c r="C126" s="236" t="str">
        <x:v>West</x:v>
      </x:c>
      <x:c r="D126" s="192" t="str">
        <x:v>Nagpur</x:v>
      </x:c>
      <x:c r="E126" s="192" t="str">
        <x:v>South Indian</x:v>
      </x:c>
      <x:c r="F126" s="192" t="str">
        <x:v>Student</x:v>
      </x:c>
      <x:c r="G126" s="192" t="str">
        <x:v>Student Customer 05</x:v>
      </x:c>
      <x:c r="H126" s="194" t="n">
        <x:v>117</x:v>
      </x:c>
      <x:c r="I126" s="195" t="n">
        <x:v>395</x:v>
      </x:c>
      <x:c r="J126" s="196" t="n">
        <x:v>0.12</x:v>
      </x:c>
      <x:c r="K126" s="195" t="n">
        <x:f>H126*I126</x:f>
        <x:v>46215</x:v>
      </x:c>
      <x:c r="L126" s="195" t="n">
        <x:f>K126*(1-J126)</x:f>
        <x:v>40669.2</x:v>
      </x:c>
      <x:c r="M126" s="195" t="n">
        <x:f>L126*(0.74-IF(E126="Healthy",0.04,IF(E126="Beverages",0.06,IF(E126="Desserts",0.05,IF(E126="North Indian",0.01,0)))))</x:f>
        <x:v>30095.208</x:v>
      </x:c>
      <x:c r="N126" s="195" t="n">
        <x:f>L126-M126</x:f>
        <x:v>10573.991999999998</x:v>
      </x:c>
      <x:c r="O126" s="195" t="n">
        <x:f>L126*0.13</x:f>
        <x:v>5286.996</x:v>
      </x:c>
      <x:c r="P126" s="195" t="n">
        <x:f>N126-O126</x:f>
        <x:v>5286.995999999998</x:v>
      </x:c>
      <x:c r="Q126" s="195" t="n">
        <x:v>41405.91800984824</x:v>
      </x:c>
    </x:row>
    <x:row r="127">
      <x:c r="A127" s="192" t="str">
        <x:v>ZOM-0123</x:v>
      </x:c>
      <x:c r="B127" s="193" t="n">
        <x:v>45780</x:v>
      </x:c>
      <x:c r="C127" s="236" t="str">
        <x:v>West</x:v>
      </x:c>
      <x:c r="D127" s="192" t="str">
        <x:v>Ahmedabad</x:v>
      </x:c>
      <x:c r="E127" s="192" t="str">
        <x:v>Healthy</x:v>
      </x:c>
      <x:c r="F127" s="192" t="str">
        <x:v>Corporate</x:v>
      </x:c>
      <x:c r="G127" s="192" t="str">
        <x:v>Corporate Customer 19</x:v>
      </x:c>
      <x:c r="H127" s="194" t="n">
        <x:v>141</x:v>
      </x:c>
      <x:c r="I127" s="195" t="n">
        <x:v>405</x:v>
      </x:c>
      <x:c r="J127" s="196" t="n">
        <x:v>0.02</x:v>
      </x:c>
      <x:c r="K127" s="195" t="n">
        <x:f>H127*I127</x:f>
        <x:v>57105</x:v>
      </x:c>
      <x:c r="L127" s="195" t="n">
        <x:f>K127*(1-J127)</x:f>
        <x:v>55962.9</x:v>
      </x:c>
      <x:c r="M127" s="195" t="n">
        <x:f>L127*(0.74-IF(E127="Healthy",0.04,IF(E127="Beverages",0.06,IF(E127="Desserts",0.05,IF(E127="North Indian",0.01,0)))))</x:f>
        <x:v>39174.03</x:v>
      </x:c>
      <x:c r="N127" s="195" t="n">
        <x:f>L127-M127</x:f>
        <x:v>16788.870000000003</x:v>
      </x:c>
      <x:c r="O127" s="195" t="n">
        <x:f>L127*0.13</x:f>
        <x:v>7275.177000000001</x:v>
      </x:c>
      <x:c r="P127" s="195" t="n">
        <x:f>N127-O127</x:f>
        <x:v>9513.693000000003</x:v>
      </x:c>
      <x:c r="Q127" s="195" t="n">
        <x:v>58439.17504877862</x:v>
      </x:c>
    </x:row>
    <x:row r="128">
      <x:c r="A128" s="192" t="str">
        <x:v>ZOM-0124</x:v>
      </x:c>
      <x:c r="B128" s="193" t="n">
        <x:v>45781</x:v>
      </x:c>
      <x:c r="C128" s="236" t="str">
        <x:v>North</x:v>
      </x:c>
      <x:c r="D128" s="192" t="str">
        <x:v>Delhi</x:v>
      </x:c>
      <x:c r="E128" s="192" t="str">
        <x:v>Burgers</x:v>
      </x:c>
      <x:c r="F128" s="192" t="str">
        <x:v>Gold User</x:v>
      </x:c>
      <x:c r="G128" s="192" t="str">
        <x:v>Gold User Customer 21</x:v>
      </x:c>
      <x:c r="H128" s="194" t="n">
        <x:v>140</x:v>
      </x:c>
      <x:c r="I128" s="195" t="n">
        <x:v>439</x:v>
      </x:c>
      <x:c r="J128" s="196" t="n">
        <x:v>0.009999999999999998</x:v>
      </x:c>
      <x:c r="K128" s="195" t="n">
        <x:f>H128*I128</x:f>
        <x:v>61460</x:v>
      </x:c>
      <x:c r="L128" s="195" t="n">
        <x:f>K128*(1-J128)</x:f>
        <x:v>60845.4</x:v>
      </x:c>
      <x:c r="M128" s="195" t="n">
        <x:f>L128*(0.74-IF(E128="Healthy",0.04,IF(E128="Beverages",0.06,IF(E128="Desserts",0.05,IF(E128="North Indian",0.01,0)))))</x:f>
        <x:v>45025.596</x:v>
      </x:c>
      <x:c r="N128" s="195" t="n">
        <x:f>L128-M128</x:f>
        <x:v>15819.804000000004</x:v>
      </x:c>
      <x:c r="O128" s="195" t="n">
        <x:f>L128*0.13</x:f>
        <x:v>7909.902</x:v>
      </x:c>
      <x:c r="P128" s="195" t="n">
        <x:f>N128-O128</x:f>
        <x:v>7909.902000000004</x:v>
      </x:c>
      <x:c r="Q128" s="195" t="n">
        <x:v>65604.7572795692</x:v>
      </x:c>
    </x:row>
    <x:row r="129">
      <x:c r="A129" s="192" t="str">
        <x:v>ZOM-0125</x:v>
      </x:c>
      <x:c r="B129" s="193" t="n">
        <x:v>45782</x:v>
      </x:c>
      <x:c r="C129" s="236" t="str">
        <x:v>West</x:v>
      </x:c>
      <x:c r="D129" s="192" t="str">
        <x:v>Nagpur</x:v>
      </x:c>
      <x:c r="E129" s="192" t="str">
        <x:v>Biryani</x:v>
      </x:c>
      <x:c r="F129" s="192" t="str">
        <x:v>New User</x:v>
      </x:c>
      <x:c r="G129" s="192" t="str">
        <x:v>New User Customer 03</x:v>
      </x:c>
      <x:c r="H129" s="194" t="n">
        <x:v>84</x:v>
      </x:c>
      <x:c r="I129" s="195" t="n">
        <x:v>538</x:v>
      </x:c>
      <x:c r="J129" s="196" t="n">
        <x:v>0.08</x:v>
      </x:c>
      <x:c r="K129" s="195" t="n">
        <x:f>H129*I129</x:f>
        <x:v>45192</x:v>
      </x:c>
      <x:c r="L129" s="195" t="n">
        <x:f>K129*(1-J129)</x:f>
        <x:v>41576.64</x:v>
      </x:c>
      <x:c r="M129" s="195" t="n">
        <x:f>L129*(0.74-IF(E129="Healthy",0.04,IF(E129="Beverages",0.06,IF(E129="Desserts",0.05,IF(E129="North Indian",0.01,0)))))</x:f>
        <x:v>30766.7136</x:v>
      </x:c>
      <x:c r="N129" s="195" t="n">
        <x:f>L129-M129</x:f>
        <x:v>10809.9264</x:v>
      </x:c>
      <x:c r="O129" s="195" t="n">
        <x:f>L129*0.13</x:f>
        <x:v>5404.9632</x:v>
      </x:c>
      <x:c r="P129" s="195" t="n">
        <x:f>N129-O129</x:f>
        <x:v>5404.9632</x:v>
      </x:c>
      <x:c r="Q129" s="195" t="n">
        <x:v>44800.295215527556</x:v>
      </x:c>
    </x:row>
    <x:row r="130">
      <x:c r="A130" s="192" t="str">
        <x:v>ZOM-0126</x:v>
      </x:c>
      <x:c r="B130" s="193" t="n">
        <x:v>45783</x:v>
      </x:c>
      <x:c r="C130" s="236" t="str">
        <x:v>South</x:v>
      </x:c>
      <x:c r="D130" s="192" t="str">
        <x:v>Kochi</x:v>
      </x:c>
      <x:c r="E130" s="192" t="str">
        <x:v>Snacks</x:v>
      </x:c>
      <x:c r="F130" s="192" t="str">
        <x:v>Gold User</x:v>
      </x:c>
      <x:c r="G130" s="192" t="str">
        <x:v>Gold User Customer 44</x:v>
      </x:c>
      <x:c r="H130" s="194" t="n">
        <x:v>170</x:v>
      </x:c>
      <x:c r="I130" s="195" t="n">
        <x:v>213</x:v>
      </x:c>
      <x:c r="J130" s="196" t="n">
        <x:v>0.03</x:v>
      </x:c>
      <x:c r="K130" s="195" t="n">
        <x:f>H130*I130</x:f>
        <x:v>36210</x:v>
      </x:c>
      <x:c r="L130" s="195" t="n">
        <x:f>K130*(1-J130)</x:f>
        <x:v>35123.7</x:v>
      </x:c>
      <x:c r="M130" s="195" t="n">
        <x:f>L130*(0.74-IF(E130="Healthy",0.04,IF(E130="Beverages",0.06,IF(E130="Desserts",0.05,IF(E130="North Indian",0.01,0)))))</x:f>
        <x:v>25991.537999999997</x:v>
      </x:c>
      <x:c r="N130" s="195" t="n">
        <x:f>L130-M130</x:f>
        <x:v>9132.162</x:v>
      </x:c>
      <x:c r="O130" s="195" t="n">
        <x:f>L130*0.13</x:f>
        <x:v>4566.081</x:v>
      </x:c>
      <x:c r="P130" s="195" t="n">
        <x:f>N130-O130</x:f>
        <x:v>4566.081</x:v>
      </x:c>
      <x:c r="Q130" s="195" t="n">
        <x:v>38387.94826733128</x:v>
      </x:c>
    </x:row>
    <x:row r="131">
      <x:c r="A131" s="192" t="str">
        <x:v>ZOM-0127</x:v>
      </x:c>
      <x:c r="B131" s="193" t="n">
        <x:v>45784</x:v>
      </x:c>
      <x:c r="C131" s="236" t="str">
        <x:v>West</x:v>
      </x:c>
      <x:c r="D131" s="192" t="str">
        <x:v>Ahmedabad</x:v>
      </x:c>
      <x:c r="E131" s="192" t="str">
        <x:v>North Indian</x:v>
      </x:c>
      <x:c r="F131" s="192" t="str">
        <x:v>New User</x:v>
      </x:c>
      <x:c r="G131" s="192" t="str">
        <x:v>New User Customer 23</x:v>
      </x:c>
      <x:c r="H131" s="194" t="n">
        <x:v>120</x:v>
      </x:c>
      <x:c r="I131" s="195" t="n">
        <x:v>490</x:v>
      </x:c>
      <x:c r="J131" s="196" t="n">
        <x:v>0.08</x:v>
      </x:c>
      <x:c r="K131" s="195" t="n">
        <x:f>H131*I131</x:f>
        <x:v>58800</x:v>
      </x:c>
      <x:c r="L131" s="195" t="n">
        <x:f>K131*(1-J131)</x:f>
        <x:v>54096</x:v>
      </x:c>
      <x:c r="M131" s="195" t="n">
        <x:f>L131*(0.74-IF(E131="Healthy",0.04,IF(E131="Beverages",0.06,IF(E131="Desserts",0.05,IF(E131="North Indian",0.01,0)))))</x:f>
        <x:v>39490.08</x:v>
      </x:c>
      <x:c r="N131" s="195" t="n">
        <x:f>L131-M131</x:f>
        <x:v>14605.919999999998</x:v>
      </x:c>
      <x:c r="O131" s="195" t="n">
        <x:f>L131*0.13</x:f>
        <x:v>7032.4800000000005</x:v>
      </x:c>
      <x:c r="P131" s="195" t="n">
        <x:f>N131-O131</x:f>
        <x:v>7573.439999999998</x:v>
      </x:c>
      <x:c r="Q131" s="195" t="n">
        <x:v>55014.085161130715</x:v>
      </x:c>
    </x:row>
    <x:row r="132">
      <x:c r="A132" s="192" t="str">
        <x:v>ZOM-0128</x:v>
      </x:c>
      <x:c r="B132" s="193" t="n">
        <x:v>45785</x:v>
      </x:c>
      <x:c r="C132" s="236" t="str">
        <x:v>South</x:v>
      </x:c>
      <x:c r="D132" s="192" t="str">
        <x:v>Kochi</x:v>
      </x:c>
      <x:c r="E132" s="192" t="str">
        <x:v>North Indian</x:v>
      </x:c>
      <x:c r="F132" s="192" t="str">
        <x:v>Budget</x:v>
      </x:c>
      <x:c r="G132" s="192" t="str">
        <x:v>Budget Customer 45</x:v>
      </x:c>
      <x:c r="H132" s="194" t="n">
        <x:v>67</x:v>
      </x:c>
      <x:c r="I132" s="195" t="n">
        <x:v>496</x:v>
      </x:c>
      <x:c r="J132" s="196" t="n">
        <x:v>0.11</x:v>
      </x:c>
      <x:c r="K132" s="195" t="n">
        <x:f>H132*I132</x:f>
        <x:v>33232</x:v>
      </x:c>
      <x:c r="L132" s="195" t="n">
        <x:f>K132*(1-J132)</x:f>
        <x:v>29576.48</x:v>
      </x:c>
      <x:c r="M132" s="195" t="n">
        <x:f>L132*(0.74-IF(E132="Healthy",0.04,IF(E132="Beverages",0.06,IF(E132="Desserts",0.05,IF(E132="North Indian",0.01,0)))))</x:f>
        <x:v>21590.8304</x:v>
      </x:c>
      <x:c r="N132" s="195" t="n">
        <x:f>L132-M132</x:f>
        <x:v>7985.649600000001</x:v>
      </x:c>
      <x:c r="O132" s="195" t="n">
        <x:f>L132*0.13</x:f>
        <x:v>3844.9424</x:v>
      </x:c>
      <x:c r="P132" s="195" t="n">
        <x:f>N132-O132</x:f>
        <x:v>4140.707200000001</x:v>
      </x:c>
      <x:c r="Q132" s="195" t="n">
        <x:v>30030.042764964634</x:v>
      </x:c>
    </x:row>
    <x:row r="133">
      <x:c r="A133" s="192" t="str">
        <x:v>ZOM-0129</x:v>
      </x:c>
      <x:c r="B133" s="193" t="n">
        <x:v>45786</x:v>
      </x:c>
      <x:c r="C133" s="236" t="str">
        <x:v>Central</x:v>
      </x:c>
      <x:c r="D133" s="192" t="str">
        <x:v>Varanasi</x:v>
      </x:c>
      <x:c r="E133" s="192" t="str">
        <x:v>North Indian</x:v>
      </x:c>
      <x:c r="F133" s="192" t="str">
        <x:v>Budget</x:v>
      </x:c>
      <x:c r="G133" s="192" t="str">
        <x:v>Budget Customer 50</x:v>
      </x:c>
      <x:c r="H133" s="194" t="n">
        <x:v>92</x:v>
      </x:c>
      <x:c r="I133" s="195" t="n">
        <x:v>507</x:v>
      </x:c>
      <x:c r="J133" s="196" t="n">
        <x:v>0.1</x:v>
      </x:c>
      <x:c r="K133" s="195" t="n">
        <x:f>H133*I133</x:f>
        <x:v>46644</x:v>
      </x:c>
      <x:c r="L133" s="195" t="n">
        <x:f>K133*(1-J133)</x:f>
        <x:v>41979.6</x:v>
      </x:c>
      <x:c r="M133" s="195" t="n">
        <x:f>L133*(0.74-IF(E133="Healthy",0.04,IF(E133="Beverages",0.06,IF(E133="Desserts",0.05,IF(E133="North Indian",0.01,0)))))</x:f>
        <x:v>30645.107999999997</x:v>
      </x:c>
      <x:c r="N133" s="195" t="n">
        <x:f>L133-M133</x:f>
        <x:v>11334.492000000002</x:v>
      </x:c>
      <x:c r="O133" s="195" t="n">
        <x:f>L133*0.13</x:f>
        <x:v>5457.348</x:v>
      </x:c>
      <x:c r="P133" s="195" t="n">
        <x:f>N133-O133</x:f>
        <x:v>5877.144000000002</x:v>
      </x:c>
      <x:c r="Q133" s="195" t="n">
        <x:v>43701.09445868211</x:v>
      </x:c>
    </x:row>
    <x:row r="134">
      <x:c r="A134" s="192" t="str">
        <x:v>ZOM-0130</x:v>
      </x:c>
      <x:c r="B134" s="193" t="n">
        <x:v>45787</x:v>
      </x:c>
      <x:c r="C134" s="236" t="str">
        <x:v>West</x:v>
      </x:c>
      <x:c r="D134" s="192" t="str">
        <x:v>Pune</x:v>
      </x:c>
      <x:c r="E134" s="192" t="str">
        <x:v>Snacks</x:v>
      </x:c>
      <x:c r="F134" s="192" t="str">
        <x:v>New User</x:v>
      </x:c>
      <x:c r="G134" s="192" t="str">
        <x:v>New User Customer 34</x:v>
      </x:c>
      <x:c r="H134" s="194" t="n">
        <x:v>108</x:v>
      </x:c>
      <x:c r="I134" s="195" t="n">
        <x:v>284</x:v>
      </x:c>
      <x:c r="J134" s="196" t="n">
        <x:v>0.06</x:v>
      </x:c>
      <x:c r="K134" s="195" t="n">
        <x:f>H134*I134</x:f>
        <x:v>30672</x:v>
      </x:c>
      <x:c r="L134" s="195" t="n">
        <x:f>K134*(1-J134)</x:f>
        <x:v>28831.679999999997</x:v>
      </x:c>
      <x:c r="M134" s="195" t="n">
        <x:f>L134*(0.74-IF(E134="Healthy",0.04,IF(E134="Beverages",0.06,IF(E134="Desserts",0.05,IF(E134="North Indian",0.01,0)))))</x:f>
        <x:v>21335.443199999998</x:v>
      </x:c>
      <x:c r="N134" s="195" t="n">
        <x:f>L134-M134</x:f>
        <x:v>7496.236799999999</x:v>
      </x:c>
      <x:c r="O134" s="195" t="n">
        <x:f>L134*0.13</x:f>
        <x:v>3748.1184</x:v>
      </x:c>
      <x:c r="P134" s="195" t="n">
        <x:f>N134-O134</x:f>
        <x:v>3748.118399999999</x:v>
      </x:c>
      <x:c r="Q134" s="195" t="n">
        <x:v>31387.241703414882</x:v>
      </x:c>
    </x:row>
    <x:row r="135">
      <x:c r="A135" s="192" t="str">
        <x:v>ZOM-0131</x:v>
      </x:c>
      <x:c r="B135" s="193" t="n">
        <x:v>45788</x:v>
      </x:c>
      <x:c r="C135" s="236" t="str">
        <x:v>North</x:v>
      </x:c>
      <x:c r="D135" s="192" t="str">
        <x:v>Gurugram</x:v>
      </x:c>
      <x:c r="E135" s="192" t="str">
        <x:v>Beverages</x:v>
      </x:c>
      <x:c r="F135" s="192" t="str">
        <x:v>Corporate</x:v>
      </x:c>
      <x:c r="G135" s="192" t="str">
        <x:v>Corporate Customer 58</x:v>
      </x:c>
      <x:c r="H135" s="194" t="n">
        <x:v>164</x:v>
      </x:c>
      <x:c r="I135" s="195" t="n">
        <x:v>216</x:v>
      </x:c>
      <x:c r="J135" s="196" t="n">
        <x:v>0.02</x:v>
      </x:c>
      <x:c r="K135" s="195" t="n">
        <x:f>H135*I135</x:f>
        <x:v>35424</x:v>
      </x:c>
      <x:c r="L135" s="195" t="n">
        <x:f>K135*(1-J135)</x:f>
        <x:v>34715.52</x:v>
      </x:c>
      <x:c r="M135" s="195" t="n">
        <x:f>L135*(0.74-IF(E135="Healthy",0.04,IF(E135="Beverages",0.06,IF(E135="Desserts",0.05,IF(E135="North Indian",0.01,0)))))</x:f>
        <x:v>23606.553599999996</x:v>
      </x:c>
      <x:c r="N135" s="195" t="n">
        <x:f>L135-M135</x:f>
        <x:v>11108.966400000001</x:v>
      </x:c>
      <x:c r="O135" s="195" t="n">
        <x:f>L135*0.13</x:f>
        <x:v>4513.0176</x:v>
      </x:c>
      <x:c r="P135" s="195" t="n">
        <x:f>N135-O135</x:f>
        <x:v>6595.948800000001</x:v>
      </x:c>
      <x:c r="Q135" s="195" t="n">
        <x:v>37318.102875197954</x:v>
      </x:c>
    </x:row>
    <x:row r="136">
      <x:c r="A136" s="192" t="str">
        <x:v>ZOM-0132</x:v>
      </x:c>
      <x:c r="B136" s="193" t="n">
        <x:v>45789</x:v>
      </x:c>
      <x:c r="C136" s="236" t="str">
        <x:v>North</x:v>
      </x:c>
      <x:c r="D136" s="192" t="str">
        <x:v>Jaipur</x:v>
      </x:c>
      <x:c r="E136" s="192" t="str">
        <x:v>North Indian</x:v>
      </x:c>
      <x:c r="F136" s="192" t="str">
        <x:v>Repeat User</x:v>
      </x:c>
      <x:c r="G136" s="192" t="str">
        <x:v>Repeat User Customer 16</x:v>
      </x:c>
      <x:c r="H136" s="194" t="n">
        <x:v>97</x:v>
      </x:c>
      <x:c r="I136" s="195" t="n">
        <x:v>643</x:v>
      </x:c>
      <x:c r="J136" s="196" t="n">
        <x:v>0.05</x:v>
      </x:c>
      <x:c r="K136" s="195" t="n">
        <x:f>H136*I136</x:f>
        <x:v>62371</x:v>
      </x:c>
      <x:c r="L136" s="195" t="n">
        <x:f>K136*(1-J136)</x:f>
        <x:v>59252.45</x:v>
      </x:c>
      <x:c r="M136" s="195" t="n">
        <x:f>L136*(0.74-IF(E136="Healthy",0.04,IF(E136="Beverages",0.06,IF(E136="Desserts",0.05,IF(E136="North Indian",0.01,0)))))</x:f>
        <x:v>43254.288499999995</x:v>
      </x:c>
      <x:c r="N136" s="195" t="n">
        <x:f>L136-M136</x:f>
        <x:v>15998.161500000002</x:v>
      </x:c>
      <x:c r="O136" s="195" t="n">
        <x:f>L136*0.13</x:f>
        <x:v>7702.8185</x:v>
      </x:c>
      <x:c r="P136" s="195" t="n">
        <x:f>N136-O136</x:f>
        <x:v>8295.343</x:v>
      </x:c>
      <x:c r="Q136" s="195" t="n">
        <x:v>60916.2797310905</x:v>
      </x:c>
    </x:row>
    <x:row r="137">
      <x:c r="A137" s="192" t="str">
        <x:v>ZOM-0133</x:v>
      </x:c>
      <x:c r="B137" s="193" t="n">
        <x:v>45790</x:v>
      </x:c>
      <x:c r="C137" s="236" t="str">
        <x:v>South</x:v>
      </x:c>
      <x:c r="D137" s="192" t="str">
        <x:v>Kochi</x:v>
      </x:c>
      <x:c r="E137" s="192" t="str">
        <x:v>Beverages</x:v>
      </x:c>
      <x:c r="F137" s="192" t="str">
        <x:v>Repeat User</x:v>
      </x:c>
      <x:c r="G137" s="192" t="str">
        <x:v>Repeat User Customer 27</x:v>
      </x:c>
      <x:c r="H137" s="194" t="n">
        <x:v>147</x:v>
      </x:c>
      <x:c r="I137" s="195" t="n">
        <x:v>274</x:v>
      </x:c>
      <x:c r="J137" s="196" t="n">
        <x:v>0.060000000000000005</x:v>
      </x:c>
      <x:c r="K137" s="195" t="n">
        <x:f>H137*I137</x:f>
        <x:v>40278</x:v>
      </x:c>
      <x:c r="L137" s="195" t="n">
        <x:f>K137*(1-J137)</x:f>
        <x:v>37861.32</x:v>
      </x:c>
      <x:c r="M137" s="195" t="n">
        <x:f>L137*(0.74-IF(E137="Healthy",0.04,IF(E137="Beverages",0.06,IF(E137="Desserts",0.05,IF(E137="North Indian",0.01,0)))))</x:f>
        <x:v>25745.697599999996</x:v>
      </x:c>
      <x:c r="N137" s="195" t="n">
        <x:f>L137-M137</x:f>
        <x:v>12115.622400000004</x:v>
      </x:c>
      <x:c r="O137" s="195" t="n">
        <x:f>L137*0.13</x:f>
        <x:v>4921.9716</x:v>
      </x:c>
      <x:c r="P137" s="195" t="n">
        <x:f>N137-O137</x:f>
        <x:v>7193.650800000004</x:v>
      </x:c>
      <x:c r="Q137" s="195" t="n">
        <x:v>40146.2053411863</x:v>
      </x:c>
    </x:row>
    <x:row r="138">
      <x:c r="A138" s="192" t="str">
        <x:v>ZOM-0134</x:v>
      </x:c>
      <x:c r="B138" s="193" t="n">
        <x:v>45791</x:v>
      </x:c>
      <x:c r="C138" s="236" t="str">
        <x:v>Metro</x:v>
      </x:c>
      <x:c r="D138" s="192" t="str">
        <x:v>Mumbai</x:v>
      </x:c>
      <x:c r="E138" s="192" t="str">
        <x:v>Healthy</x:v>
      </x:c>
      <x:c r="F138" s="192" t="str">
        <x:v>New User</x:v>
      </x:c>
      <x:c r="G138" s="192" t="str">
        <x:v>New User Customer 55</x:v>
      </x:c>
      <x:c r="H138" s="194" t="n">
        <x:v>106</x:v>
      </x:c>
      <x:c r="I138" s="195" t="n">
        <x:v>329</x:v>
      </x:c>
      <x:c r="J138" s="196" t="n">
        <x:v>0.09</x:v>
      </x:c>
      <x:c r="K138" s="195" t="n">
        <x:f>H138*I138</x:f>
        <x:v>34874</x:v>
      </x:c>
      <x:c r="L138" s="195" t="n">
        <x:f>K138*(1-J138)</x:f>
        <x:v>31735.34</x:v>
      </x:c>
      <x:c r="M138" s="195" t="n">
        <x:f>L138*(0.74-IF(E138="Healthy",0.04,IF(E138="Beverages",0.06,IF(E138="Desserts",0.05,IF(E138="North Indian",0.01,0)))))</x:f>
        <x:v>22214.737999999998</x:v>
      </x:c>
      <x:c r="N138" s="195" t="n">
        <x:f>L138-M138</x:f>
        <x:v>9520.602000000003</x:v>
      </x:c>
      <x:c r="O138" s="195" t="n">
        <x:f>L138*0.13</x:f>
        <x:v>4125.5942000000005</x:v>
      </x:c>
      <x:c r="P138" s="195" t="n">
        <x:f>N138-O138</x:f>
        <x:v>5395.007800000002</x:v>
      </x:c>
      <x:c r="Q138" s="195" t="n">
        <x:v>32126.026402105348</x:v>
      </x:c>
    </x:row>
    <x:row r="139">
      <x:c r="A139" s="192" t="str">
        <x:v>ZOM-0135</x:v>
      </x:c>
      <x:c r="B139" s="193" t="n">
        <x:v>45792</x:v>
      </x:c>
      <x:c r="C139" s="236" t="str">
        <x:v>West</x:v>
      </x:c>
      <x:c r="D139" s="192" t="str">
        <x:v>Mumbai</x:v>
      </x:c>
      <x:c r="E139" s="192" t="str">
        <x:v>Pizza</x:v>
      </x:c>
      <x:c r="F139" s="192" t="str">
        <x:v>Budget</x:v>
      </x:c>
      <x:c r="G139" s="192" t="str">
        <x:v>Budget Customer 53</x:v>
      </x:c>
      <x:c r="H139" s="194" t="n">
        <x:v>90</x:v>
      </x:c>
      <x:c r="I139" s="195" t="n">
        <x:v>628</x:v>
      </x:c>
      <x:c r="J139" s="196" t="n">
        <x:v>0.1</x:v>
      </x:c>
      <x:c r="K139" s="195" t="n">
        <x:f>H139*I139</x:f>
        <x:v>56520</x:v>
      </x:c>
      <x:c r="L139" s="195" t="n">
        <x:f>K139*(1-J139)</x:f>
        <x:v>50868</x:v>
      </x:c>
      <x:c r="M139" s="195" t="n">
        <x:f>L139*(0.74-IF(E139="Healthy",0.04,IF(E139="Beverages",0.06,IF(E139="Desserts",0.05,IF(E139="North Indian",0.01,0)))))</x:f>
        <x:v>37642.32</x:v>
      </x:c>
      <x:c r="N139" s="195" t="n">
        <x:f>L139-M139</x:f>
        <x:v>13225.68</x:v>
      </x:c>
      <x:c r="O139" s="195" t="n">
        <x:f>L139*0.13</x:f>
        <x:v>6612.84</x:v>
      </x:c>
      <x:c r="P139" s="195" t="n">
        <x:f>N139-O139</x:f>
        <x:v>6612.84</x:v>
      </x:c>
      <x:c r="Q139" s="195" t="n">
        <x:v>56425.86791834471</x:v>
      </x:c>
    </x:row>
    <x:row r="140">
      <x:c r="A140" s="192" t="str">
        <x:v>ZOM-0136</x:v>
      </x:c>
      <x:c r="B140" s="193" t="n">
        <x:v>45793</x:v>
      </x:c>
      <x:c r="C140" s="236" t="str">
        <x:v>West</x:v>
      </x:c>
      <x:c r="D140" s="192" t="str">
        <x:v>Ahmedabad</x:v>
      </x:c>
      <x:c r="E140" s="192" t="str">
        <x:v>Beverages</x:v>
      </x:c>
      <x:c r="F140" s="192" t="str">
        <x:v>Repeat User</x:v>
      </x:c>
      <x:c r="G140" s="192" t="str">
        <x:v>Repeat User Customer 21</x:v>
      </x:c>
      <x:c r="H140" s="194" t="n">
        <x:v>128</x:v>
      </x:c>
      <x:c r="I140" s="195" t="n">
        <x:v>228</x:v>
      </x:c>
      <x:c r="J140" s="196" t="n">
        <x:v>0.05</x:v>
      </x:c>
      <x:c r="K140" s="195" t="n">
        <x:f>H140*I140</x:f>
        <x:v>29184</x:v>
      </x:c>
      <x:c r="L140" s="195" t="n">
        <x:f>K140*(1-J140)</x:f>
        <x:v>27724.8</x:v>
      </x:c>
      <x:c r="M140" s="195" t="n">
        <x:f>L140*(0.74-IF(E140="Healthy",0.04,IF(E140="Beverages",0.06,IF(E140="Desserts",0.05,IF(E140="North Indian",0.01,0)))))</x:f>
        <x:v>18852.863999999998</x:v>
      </x:c>
      <x:c r="N140" s="195" t="n">
        <x:f>L140-M140</x:f>
        <x:v>8871.936000000002</x:v>
      </x:c>
      <x:c r="O140" s="195" t="n">
        <x:f>L140*0.13</x:f>
        <x:v>3604.224</x:v>
      </x:c>
      <x:c r="P140" s="195" t="n">
        <x:f>N140-O140</x:f>
        <x:v>5267.712000000001</x:v>
      </x:c>
      <x:c r="Q140" s="195" t="n">
        <x:v>28471.83506095567</x:v>
      </x:c>
    </x:row>
    <x:row r="141">
      <x:c r="A141" s="192" t="str">
        <x:v>ZOM-0137</x:v>
      </x:c>
      <x:c r="B141" s="193" t="n">
        <x:v>45794</x:v>
      </x:c>
      <x:c r="C141" s="236" t="str">
        <x:v>Metro</x:v>
      </x:c>
      <x:c r="D141" s="192" t="str">
        <x:v>Bengaluru</x:v>
      </x:c>
      <x:c r="E141" s="192" t="str">
        <x:v>Healthy</x:v>
      </x:c>
      <x:c r="F141" s="192" t="str">
        <x:v>New User</x:v>
      </x:c>
      <x:c r="G141" s="192" t="str">
        <x:v>New User Customer 29</x:v>
      </x:c>
      <x:c r="H141" s="194" t="n">
        <x:v>111</x:v>
      </x:c>
      <x:c r="I141" s="195" t="n">
        <x:v>474</x:v>
      </x:c>
      <x:c r="J141" s="196" t="n">
        <x:v>0.09</x:v>
      </x:c>
      <x:c r="K141" s="195" t="n">
        <x:f>H141*I141</x:f>
        <x:v>52614</x:v>
      </x:c>
      <x:c r="L141" s="195" t="n">
        <x:f>K141*(1-J141)</x:f>
        <x:v>47878.740000000005</x:v>
      </x:c>
      <x:c r="M141" s="195" t="n">
        <x:f>L141*(0.74-IF(E141="Healthy",0.04,IF(E141="Beverages",0.06,IF(E141="Desserts",0.05,IF(E141="North Indian",0.01,0)))))</x:f>
        <x:v>33515.118</x:v>
      </x:c>
      <x:c r="N141" s="195" t="n">
        <x:f>L141-M141</x:f>
        <x:v>14363.622000000003</x:v>
      </x:c>
      <x:c r="O141" s="195" t="n">
        <x:f>L141*0.13</x:f>
        <x:v>6224.236200000001</x:v>
      </x:c>
      <x:c r="P141" s="195" t="n">
        <x:f>N141-O141</x:f>
        <x:v>8139.385800000002</x:v>
      </x:c>
      <x:c r="Q141" s="195" t="n">
        <x:v>51932.36197167124</x:v>
      </x:c>
    </x:row>
    <x:row r="142">
      <x:c r="A142" s="192" t="str">
        <x:v>ZOM-0138</x:v>
      </x:c>
      <x:c r="B142" s="193" t="n">
        <x:v>45795</x:v>
      </x:c>
      <x:c r="C142" s="236" t="str">
        <x:v>East</x:v>
      </x:c>
      <x:c r="D142" s="192" t="str">
        <x:v>Kolkata</x:v>
      </x:c>
      <x:c r="E142" s="192" t="str">
        <x:v>North Indian</x:v>
      </x:c>
      <x:c r="F142" s="192" t="str">
        <x:v>Repeat User</x:v>
      </x:c>
      <x:c r="G142" s="192" t="str">
        <x:v>Repeat User Customer 04</x:v>
      </x:c>
      <x:c r="H142" s="194" t="n">
        <x:v>78</x:v>
      </x:c>
      <x:c r="I142" s="195" t="n">
        <x:v>549</x:v>
      </x:c>
      <x:c r="J142" s="196" t="n">
        <x:v>0.060000000000000005</x:v>
      </x:c>
      <x:c r="K142" s="195" t="n">
        <x:f>H142*I142</x:f>
        <x:v>42822</x:v>
      </x:c>
      <x:c r="L142" s="195" t="n">
        <x:f>K142*(1-J142)</x:f>
        <x:v>40252.68</x:v>
      </x:c>
      <x:c r="M142" s="195" t="n">
        <x:f>L142*(0.74-IF(E142="Healthy",0.04,IF(E142="Beverages",0.06,IF(E142="Desserts",0.05,IF(E142="North Indian",0.01,0)))))</x:f>
        <x:v>29384.4564</x:v>
      </x:c>
      <x:c r="N142" s="195" t="n">
        <x:f>L142-M142</x:f>
        <x:v>10868.223600000001</x:v>
      </x:c>
      <x:c r="O142" s="195" t="n">
        <x:f>L142*0.13</x:f>
        <x:v>5232.8484</x:v>
      </x:c>
      <x:c r="P142" s="195" t="n">
        <x:f>N142-O142</x:f>
        <x:v>5635.375200000001</x:v>
      </x:c>
      <x:c r="Q142" s="195" t="n">
        <x:v>41707.33712007562</x:v>
      </x:c>
    </x:row>
    <x:row r="143">
      <x:c r="A143" s="192" t="str">
        <x:v>ZOM-0139</x:v>
      </x:c>
      <x:c r="B143" s="193" t="n">
        <x:v>45796</x:v>
      </x:c>
      <x:c r="C143" s="236" t="str">
        <x:v>South</x:v>
      </x:c>
      <x:c r="D143" s="192" t="str">
        <x:v>Coimbatore</x:v>
      </x:c>
      <x:c r="E143" s="192" t="str">
        <x:v>South Indian</x:v>
      </x:c>
      <x:c r="F143" s="192" t="str">
        <x:v>New User</x:v>
      </x:c>
      <x:c r="G143" s="192" t="str">
        <x:v>New User Customer 19</x:v>
      </x:c>
      <x:c r="H143" s="194" t="n">
        <x:v>129</x:v>
      </x:c>
      <x:c r="I143" s="195" t="n">
        <x:v>388</x:v>
      </x:c>
      <x:c r="J143" s="196" t="n">
        <x:v>0.06</x:v>
      </x:c>
      <x:c r="K143" s="195" t="n">
        <x:f>H143*I143</x:f>
        <x:v>50052</x:v>
      </x:c>
      <x:c r="L143" s="195" t="n">
        <x:f>K143*(1-J143)</x:f>
        <x:v>47048.88</x:v>
      </x:c>
      <x:c r="M143" s="195" t="n">
        <x:f>L143*(0.74-IF(E143="Healthy",0.04,IF(E143="Beverages",0.06,IF(E143="Desserts",0.05,IF(E143="North Indian",0.01,0)))))</x:f>
        <x:v>34816.1712</x:v>
      </x:c>
      <x:c r="N143" s="195" t="n">
        <x:f>L143-M143</x:f>
        <x:v>12232.7088</x:v>
      </x:c>
      <x:c r="O143" s="195" t="n">
        <x:f>L143*0.13</x:f>
        <x:v>6116.3544</x:v>
      </x:c>
      <x:c r="P143" s="195" t="n">
        <x:f>N143-O143</x:f>
        <x:v>6116.3544</x:v>
      </x:c>
      <x:c r="Q143" s="195" t="n">
        <x:v>51105.68470235797</x:v>
      </x:c>
    </x:row>
    <x:row r="144">
      <x:c r="A144" s="192" t="str">
        <x:v>ZOM-0140</x:v>
      </x:c>
      <x:c r="B144" s="193" t="n">
        <x:v>45797</x:v>
      </x:c>
      <x:c r="C144" s="236" t="str">
        <x:v>West</x:v>
      </x:c>
      <x:c r="D144" s="192" t="str">
        <x:v>Nagpur</x:v>
      </x:c>
      <x:c r="E144" s="192" t="str">
        <x:v>Pizza</x:v>
      </x:c>
      <x:c r="F144" s="192" t="str">
        <x:v>Corporate</x:v>
      </x:c>
      <x:c r="G144" s="192" t="str">
        <x:v>Corporate Customer 35</x:v>
      </x:c>
      <x:c r="H144" s="194" t="n">
        <x:v>114</x:v>
      </x:c>
      <x:c r="I144" s="195" t="n">
        <x:v>686</x:v>
      </x:c>
      <x:c r="J144" s="196" t="n">
        <x:v>0</x:v>
      </x:c>
      <x:c r="K144" s="195" t="n">
        <x:f>H144*I144</x:f>
        <x:v>78204</x:v>
      </x:c>
      <x:c r="L144" s="195" t="n">
        <x:f>K144*(1-J144)</x:f>
        <x:v>78204</x:v>
      </x:c>
      <x:c r="M144" s="195" t="n">
        <x:f>L144*(0.74-IF(E144="Healthy",0.04,IF(E144="Beverages",0.06,IF(E144="Desserts",0.05,IF(E144="North Indian",0.01,0)))))</x:f>
        <x:v>57870.96</x:v>
      </x:c>
      <x:c r="N144" s="195" t="n">
        <x:f>L144-M144</x:f>
        <x:v>20333.04</x:v>
      </x:c>
      <x:c r="O144" s="195" t="n">
        <x:f>L144*0.13</x:f>
        <x:v>10166.52</x:v>
      </x:c>
      <x:c r="P144" s="195" t="n">
        <x:f>N144-O144</x:f>
        <x:v>10166.52</x:v>
      </x:c>
      <x:c r="Q144" s="195" t="n">
        <x:v>87151.19774798153</x:v>
      </x:c>
    </x:row>
    <x:row r="145">
      <x:c r="A145" s="192" t="str">
        <x:v>ZOM-0141</x:v>
      </x:c>
      <x:c r="B145" s="193" t="n">
        <x:v>45798</x:v>
      </x:c>
      <x:c r="C145" s="236" t="str">
        <x:v>West</x:v>
      </x:c>
      <x:c r="D145" s="192" t="str">
        <x:v>Nagpur</x:v>
      </x:c>
      <x:c r="E145" s="192" t="str">
        <x:v>Chinese</x:v>
      </x:c>
      <x:c r="F145" s="192" t="str">
        <x:v>Repeat User</x:v>
      </x:c>
      <x:c r="G145" s="192" t="str">
        <x:v>Repeat User Customer 51</x:v>
      </x:c>
      <x:c r="H145" s="194" t="n">
        <x:v>139</x:v>
      </x:c>
      <x:c r="I145" s="195" t="n">
        <x:v>369</x:v>
      </x:c>
      <x:c r="J145" s="196" t="n">
        <x:v>0.060000000000000005</x:v>
      </x:c>
      <x:c r="K145" s="195" t="n">
        <x:f>H145*I145</x:f>
        <x:v>51291</x:v>
      </x:c>
      <x:c r="L145" s="195" t="n">
        <x:f>K145*(1-J145)</x:f>
        <x:v>48213.54</x:v>
      </x:c>
      <x:c r="M145" s="195" t="n">
        <x:f>L145*(0.74-IF(E145="Healthy",0.04,IF(E145="Beverages",0.06,IF(E145="Desserts",0.05,IF(E145="North Indian",0.01,0)))))</x:f>
        <x:v>35678.0196</x:v>
      </x:c>
      <x:c r="N145" s="195" t="n">
        <x:f>L145-M145</x:f>
        <x:v>12535.520400000001</x:v>
      </x:c>
      <x:c r="O145" s="195" t="n">
        <x:f>L145*0.13</x:f>
        <x:v>6267.760200000001</x:v>
      </x:c>
      <x:c r="P145" s="195" t="n">
        <x:f>N145-O145</x:f>
        <x:v>6267.760200000001</x:v>
      </x:c>
      <x:c r="Q145" s="195" t="n">
        <x:v>48307.511455111264</x:v>
      </x:c>
    </x:row>
    <x:row r="146">
      <x:c r="A146" s="192" t="str">
        <x:v>ZOM-0142</x:v>
      </x:c>
      <x:c r="B146" s="193" t="n">
        <x:v>45799</x:v>
      </x:c>
      <x:c r="C146" s="236" t="str">
        <x:v>North</x:v>
      </x:c>
      <x:c r="D146" s="192" t="str">
        <x:v>Noida</x:v>
      </x:c>
      <x:c r="E146" s="192" t="str">
        <x:v>Desserts</x:v>
      </x:c>
      <x:c r="F146" s="192" t="str">
        <x:v>Corporate</x:v>
      </x:c>
      <x:c r="G146" s="192" t="str">
        <x:v>Corporate Customer 42</x:v>
      </x:c>
      <x:c r="H146" s="194" t="n">
        <x:v>161</x:v>
      </x:c>
      <x:c r="I146" s="195" t="n">
        <x:v>318</x:v>
      </x:c>
      <x:c r="J146" s="196" t="n">
        <x:v>0.02</x:v>
      </x:c>
      <x:c r="K146" s="195" t="n">
        <x:f>H146*I146</x:f>
        <x:v>51198</x:v>
      </x:c>
      <x:c r="L146" s="195" t="n">
        <x:f>K146*(1-J146)</x:f>
        <x:v>50174.04</x:v>
      </x:c>
      <x:c r="M146" s="195" t="n">
        <x:f>L146*(0.74-IF(E146="Healthy",0.04,IF(E146="Beverages",0.06,IF(E146="Desserts",0.05,IF(E146="North Indian",0.01,0)))))</x:f>
        <x:v>34620.0876</x:v>
      </x:c>
      <x:c r="N146" s="195" t="n">
        <x:f>L146-M146</x:f>
        <x:v>15553.952400000002</x:v>
      </x:c>
      <x:c r="O146" s="195" t="n">
        <x:f>L146*0.13</x:f>
        <x:v>6522.6252</x:v>
      </x:c>
      <x:c r="P146" s="195" t="n">
        <x:f>N146-O146</x:f>
        <x:v>9031.327200000002</x:v>
      </x:c>
      <x:c r="Q146" s="195" t="n">
        <x:v>52212.39404085584</x:v>
      </x:c>
    </x:row>
    <x:row r="147">
      <x:c r="A147" s="192" t="str">
        <x:v>ZOM-0143</x:v>
      </x:c>
      <x:c r="B147" s="193" t="n">
        <x:v>45800</x:v>
      </x:c>
      <x:c r="C147" s="236" t="str">
        <x:v>North</x:v>
      </x:c>
      <x:c r="D147" s="192" t="str">
        <x:v>Jaipur</x:v>
      </x:c>
      <x:c r="E147" s="192" t="str">
        <x:v>Snacks</x:v>
      </x:c>
      <x:c r="F147" s="192" t="str">
        <x:v>Gold User</x:v>
      </x:c>
      <x:c r="G147" s="192" t="str">
        <x:v>Gold User Customer 13</x:v>
      </x:c>
      <x:c r="H147" s="194" t="n">
        <x:v>101</x:v>
      </x:c>
      <x:c r="I147" s="195" t="n">
        <x:v>281</x:v>
      </x:c>
      <x:c r="J147" s="196" t="n">
        <x:v>0.009999999999999998</x:v>
      </x:c>
      <x:c r="K147" s="195" t="n">
        <x:f>H147*I147</x:f>
        <x:v>28381</x:v>
      </x:c>
      <x:c r="L147" s="195" t="n">
        <x:f>K147*(1-J147)</x:f>
        <x:v>28097.19</x:v>
      </x:c>
      <x:c r="M147" s="195" t="n">
        <x:f>L147*(0.74-IF(E147="Healthy",0.04,IF(E147="Beverages",0.06,IF(E147="Desserts",0.05,IF(E147="North Indian",0.01,0)))))</x:f>
        <x:v>20791.920599999998</x:v>
      </x:c>
      <x:c r="N147" s="195" t="n">
        <x:f>L147-M147</x:f>
        <x:v>7305.269400000001</x:v>
      </x:c>
      <x:c r="O147" s="195" t="n">
        <x:f>L147*0.13</x:f>
        <x:v>3652.6347</x:v>
      </x:c>
      <x:c r="P147" s="195" t="n">
        <x:f>N147-O147</x:f>
        <x:v>3652.634700000001</x:v>
      </x:c>
      <x:c r="Q147" s="195" t="n">
        <x:v>28221.886869619586</x:v>
      </x:c>
    </x:row>
    <x:row r="148">
      <x:c r="A148" s="192" t="str">
        <x:v>ZOM-0144</x:v>
      </x:c>
      <x:c r="B148" s="193" t="n">
        <x:v>45801</x:v>
      </x:c>
      <x:c r="C148" s="236" t="str">
        <x:v>North</x:v>
      </x:c>
      <x:c r="D148" s="192" t="str">
        <x:v>Noida</x:v>
      </x:c>
      <x:c r="E148" s="192" t="str">
        <x:v>Beverages</x:v>
      </x:c>
      <x:c r="F148" s="192" t="str">
        <x:v>Repeat User</x:v>
      </x:c>
      <x:c r="G148" s="192" t="str">
        <x:v>Repeat User Customer 23</x:v>
      </x:c>
      <x:c r="H148" s="194" t="n">
        <x:v>106</x:v>
      </x:c>
      <x:c r="I148" s="195" t="n">
        <x:v>229</x:v>
      </x:c>
      <x:c r="J148" s="196" t="n">
        <x:v>0.060000000000000005</x:v>
      </x:c>
      <x:c r="K148" s="195" t="n">
        <x:f>H148*I148</x:f>
        <x:v>24274</x:v>
      </x:c>
      <x:c r="L148" s="195" t="n">
        <x:f>K148*(1-J148)</x:f>
        <x:v>22817.559999999998</x:v>
      </x:c>
      <x:c r="M148" s="195" t="n">
        <x:f>L148*(0.74-IF(E148="Healthy",0.04,IF(E148="Beverages",0.06,IF(E148="Desserts",0.05,IF(E148="North Indian",0.01,0)))))</x:f>
        <x:v>15515.940799999997</x:v>
      </x:c>
      <x:c r="N148" s="195" t="n">
        <x:f>L148-M148</x:f>
        <x:v>7301.619200000001</x:v>
      </x:c>
      <x:c r="O148" s="195" t="n">
        <x:f>L148*0.13</x:f>
        <x:v>2966.2828</x:v>
      </x:c>
      <x:c r="P148" s="195" t="n">
        <x:f>N148-O148</x:f>
        <x:v>4335.336400000001</x:v>
      </x:c>
      <x:c r="Q148" s="195" t="n">
        <x:v>23340.82167963722</x:v>
      </x:c>
    </x:row>
    <x:row r="149">
      <x:c r="A149" s="192" t="str">
        <x:v>ZOM-0145</x:v>
      </x:c>
      <x:c r="B149" s="193" t="n">
        <x:v>45802</x:v>
      </x:c>
      <x:c r="C149" s="236" t="str">
        <x:v>Metro</x:v>
      </x:c>
      <x:c r="D149" s="192" t="str">
        <x:v>Delhi</x:v>
      </x:c>
      <x:c r="E149" s="192" t="str">
        <x:v>Healthy</x:v>
      </x:c>
      <x:c r="F149" s="192" t="str">
        <x:v>Repeat User</x:v>
      </x:c>
      <x:c r="G149" s="192" t="str">
        <x:v>Repeat User Customer 25</x:v>
      </x:c>
      <x:c r="H149" s="194" t="n">
        <x:v>94</x:v>
      </x:c>
      <x:c r="I149" s="195" t="n">
        <x:v>454</x:v>
      </x:c>
      <x:c r="J149" s="196" t="n">
        <x:v>0.060000000000000005</x:v>
      </x:c>
      <x:c r="K149" s="195" t="n">
        <x:f>H149*I149</x:f>
        <x:v>42676</x:v>
      </x:c>
      <x:c r="L149" s="195" t="n">
        <x:f>K149*(1-J149)</x:f>
        <x:v>40115.439999999995</x:v>
      </x:c>
      <x:c r="M149" s="195" t="n">
        <x:f>L149*(0.74-IF(E149="Healthy",0.04,IF(E149="Beverages",0.06,IF(E149="Desserts",0.05,IF(E149="North Indian",0.01,0)))))</x:f>
        <x:v>28080.807999999994</x:v>
      </x:c>
      <x:c r="N149" s="195" t="n">
        <x:f>L149-M149</x:f>
        <x:v>12034.632000000001</x:v>
      </x:c>
      <x:c r="O149" s="195" t="n">
        <x:f>L149*0.13</x:f>
        <x:v>5215.007199999999</x:v>
      </x:c>
      <x:c r="P149" s="195" t="n">
        <x:f>N149-O149</x:f>
        <x:v>6819.624800000002</x:v>
      </x:c>
      <x:c r="Q149" s="195" t="n">
        <x:v>44422.093210074374</x:v>
      </x:c>
    </x:row>
    <x:row r="150">
      <x:c r="A150" s="192" t="str">
        <x:v>ZOM-0146</x:v>
      </x:c>
      <x:c r="B150" s="193" t="n">
        <x:v>45803</x:v>
      </x:c>
      <x:c r="C150" s="236" t="str">
        <x:v>South</x:v>
      </x:c>
      <x:c r="D150" s="192" t="str">
        <x:v>Hyderabad</x:v>
      </x:c>
      <x:c r="E150" s="192" t="str">
        <x:v>South Indian</x:v>
      </x:c>
      <x:c r="F150" s="192" t="str">
        <x:v>Gold User</x:v>
      </x:c>
      <x:c r="G150" s="192" t="str">
        <x:v>Gold User Customer 53</x:v>
      </x:c>
      <x:c r="H150" s="194" t="n">
        <x:v>156</x:v>
      </x:c>
      <x:c r="I150" s="195" t="n">
        <x:v>336</x:v>
      </x:c>
      <x:c r="J150" s="196" t="n">
        <x:v>0.009999999999999998</x:v>
      </x:c>
      <x:c r="K150" s="195" t="n">
        <x:f>H150*I150</x:f>
        <x:v>52416</x:v>
      </x:c>
      <x:c r="L150" s="195" t="n">
        <x:f>K150*(1-J150)</x:f>
        <x:v>51891.84</x:v>
      </x:c>
      <x:c r="M150" s="195" t="n">
        <x:f>L150*(0.74-IF(E150="Healthy",0.04,IF(E150="Beverages",0.06,IF(E150="Desserts",0.05,IF(E150="North Indian",0.01,0)))))</x:f>
        <x:v>38399.961599999995</x:v>
      </x:c>
      <x:c r="N150" s="195" t="n">
        <x:f>L150-M150</x:f>
        <x:v>13491.878400000001</x:v>
      </x:c>
      <x:c r="O150" s="195" t="n">
        <x:f>L150*0.13</x:f>
        <x:v>6745.9392</x:v>
      </x:c>
      <x:c r="P150" s="195" t="n">
        <x:f>N150-O150</x:f>
        <x:v>6745.939200000002</x:v>
      </x:c>
      <x:c r="Q150" s="195" t="n">
        <x:v>55643.32922284444</x:v>
      </x:c>
    </x:row>
    <x:row r="151">
      <x:c r="A151" s="192" t="str">
        <x:v>ZOM-0147</x:v>
      </x:c>
      <x:c r="B151" s="193" t="n">
        <x:v>45804</x:v>
      </x:c>
      <x:c r="C151" s="236" t="str">
        <x:v>South</x:v>
      </x:c>
      <x:c r="D151" s="192" t="str">
        <x:v>Chennai</x:v>
      </x:c>
      <x:c r="E151" s="192" t="str">
        <x:v>Pizza</x:v>
      </x:c>
      <x:c r="F151" s="192" t="str">
        <x:v>New User</x:v>
      </x:c>
      <x:c r="G151" s="192" t="str">
        <x:v>New User Customer 47</x:v>
      </x:c>
      <x:c r="H151" s="194" t="n">
        <x:v>104</x:v>
      </x:c>
      <x:c r="I151" s="195" t="n">
        <x:v>590</x:v>
      </x:c>
      <x:c r="J151" s="196" t="n">
        <x:v>0.09</x:v>
      </x:c>
      <x:c r="K151" s="195" t="n">
        <x:f>H151*I151</x:f>
        <x:v>61360</x:v>
      </x:c>
      <x:c r="L151" s="195" t="n">
        <x:f>K151*(1-J151)</x:f>
        <x:v>55837.6</x:v>
      </x:c>
      <x:c r="M151" s="195" t="n">
        <x:f>L151*(0.74-IF(E151="Healthy",0.04,IF(E151="Beverages",0.06,IF(E151="Desserts",0.05,IF(E151="North Indian",0.01,0)))))</x:f>
        <x:v>41319.824</x:v>
      </x:c>
      <x:c r="N151" s="195" t="n">
        <x:f>L151-M151</x:f>
        <x:v>14517.775999999998</x:v>
      </x:c>
      <x:c r="O151" s="195" t="n">
        <x:f>L151*0.13</x:f>
        <x:v>7258.888</x:v>
      </x:c>
      <x:c r="P151" s="195" t="n">
        <x:f>N151-O151</x:f>
        <x:v>7258.887999999998</x:v>
      </x:c>
      <x:c r="Q151" s="195" t="n">
        <x:v>58833.597650176474</x:v>
      </x:c>
    </x:row>
    <x:row r="152">
      <x:c r="A152" s="192" t="str">
        <x:v>ZOM-0148</x:v>
      </x:c>
      <x:c r="B152" s="193" t="n">
        <x:v>45805</x:v>
      </x:c>
      <x:c r="C152" s="236" t="str">
        <x:v>Metro</x:v>
      </x:c>
      <x:c r="D152" s="192" t="str">
        <x:v>Bengaluru</x:v>
      </x:c>
      <x:c r="E152" s="192" t="str">
        <x:v>Burgers</x:v>
      </x:c>
      <x:c r="F152" s="192" t="str">
        <x:v>Gold User</x:v>
      </x:c>
      <x:c r="G152" s="192" t="str">
        <x:v>Gold User Customer 02</x:v>
      </x:c>
      <x:c r="H152" s="194" t="n">
        <x:v>95</x:v>
      </x:c>
      <x:c r="I152" s="195" t="n">
        <x:v>349</x:v>
      </x:c>
      <x:c r="J152" s="196" t="n">
        <x:v>0.04</x:v>
      </x:c>
      <x:c r="K152" s="195" t="n">
        <x:f>H152*I152</x:f>
        <x:v>33155</x:v>
      </x:c>
      <x:c r="L152" s="195" t="n">
        <x:f>K152*(1-J152)</x:f>
        <x:v>31828.8</x:v>
      </x:c>
      <x:c r="M152" s="195" t="n">
        <x:f>L152*(0.74-IF(E152="Healthy",0.04,IF(E152="Beverages",0.06,IF(E152="Desserts",0.05,IF(E152="North Indian",0.01,0)))))</x:f>
        <x:v>23553.311999999998</x:v>
      </x:c>
      <x:c r="N152" s="195" t="n">
        <x:f>L152-M152</x:f>
        <x:v>8275.488000000001</x:v>
      </x:c>
      <x:c r="O152" s="195" t="n">
        <x:f>L152*0.13</x:f>
        <x:v>4137.744</x:v>
      </x:c>
      <x:c r="P152" s="195" t="n">
        <x:f>N152-O152</x:f>
        <x:v>4137.7440000000015</x:v>
      </x:c>
      <x:c r="Q152" s="195" t="n">
        <x:v>34423.77892248146</x:v>
      </x:c>
    </x:row>
    <x:row r="153">
      <x:c r="A153" s="192" t="str">
        <x:v>ZOM-0149</x:v>
      </x:c>
      <x:c r="B153" s="193" t="n">
        <x:v>45806</x:v>
      </x:c>
      <x:c r="C153" s="236" t="str">
        <x:v>North</x:v>
      </x:c>
      <x:c r="D153" s="192" t="str">
        <x:v>Lucknow</x:v>
      </x:c>
      <x:c r="E153" s="192" t="str">
        <x:v>Burgers</x:v>
      </x:c>
      <x:c r="F153" s="192" t="str">
        <x:v>Gold User</x:v>
      </x:c>
      <x:c r="G153" s="192" t="str">
        <x:v>Gold User Customer 10</x:v>
      </x:c>
      <x:c r="H153" s="194" t="n">
        <x:v>93</x:v>
      </x:c>
      <x:c r="I153" s="195" t="n">
        <x:v>348</x:v>
      </x:c>
      <x:c r="J153" s="196" t="n">
        <x:v>0.03</x:v>
      </x:c>
      <x:c r="K153" s="195" t="n">
        <x:f>H153*I153</x:f>
        <x:v>32364</x:v>
      </x:c>
      <x:c r="L153" s="195" t="n">
        <x:f>K153*(1-J153)</x:f>
        <x:v>31393.079999999998</x:v>
      </x:c>
      <x:c r="M153" s="195" t="n">
        <x:f>L153*(0.74-IF(E153="Healthy",0.04,IF(E153="Beverages",0.06,IF(E153="Desserts",0.05,IF(E153="North Indian",0.01,0)))))</x:f>
        <x:v>23230.8792</x:v>
      </x:c>
      <x:c r="N153" s="195" t="n">
        <x:f>L153-M153</x:f>
        <x:v>8162.200799999999</x:v>
      </x:c>
      <x:c r="O153" s="195" t="n">
        <x:f>L153*0.13</x:f>
        <x:v>4081.1004</x:v>
      </x:c>
      <x:c r="P153" s="195" t="n">
        <x:f>N153-O153</x:f>
        <x:v>4081.100399999999</x:v>
      </x:c>
      <x:c r="Q153" s="195" t="n">
        <x:v>31515.08100798235</x:v>
      </x:c>
    </x:row>
    <x:row r="154">
      <x:c r="A154" s="192" t="str">
        <x:v>ZOM-0150</x:v>
      </x:c>
      <x:c r="B154" s="193" t="n">
        <x:v>45807</x:v>
      </x:c>
      <x:c r="C154" s="236" t="str">
        <x:v>East</x:v>
      </x:c>
      <x:c r="D154" s="192" t="str">
        <x:v>Patna</x:v>
      </x:c>
      <x:c r="E154" s="192" t="str">
        <x:v>Pizza</x:v>
      </x:c>
      <x:c r="F154" s="192" t="str">
        <x:v>Budget</x:v>
      </x:c>
      <x:c r="G154" s="192" t="str">
        <x:v>Budget Customer 08</x:v>
      </x:c>
      <x:c r="H154" s="194" t="n">
        <x:v>102</x:v>
      </x:c>
      <x:c r="I154" s="195" t="n">
        <x:v>545</x:v>
      </x:c>
      <x:c r="J154" s="196" t="n">
        <x:v>0.1</x:v>
      </x:c>
      <x:c r="K154" s="195" t="n">
        <x:f>H154*I154</x:f>
        <x:v>55590</x:v>
      </x:c>
      <x:c r="L154" s="195" t="n">
        <x:f>K154*(1-J154)</x:f>
        <x:v>50031</x:v>
      </x:c>
      <x:c r="M154" s="195" t="n">
        <x:f>L154*(0.74-IF(E154="Healthy",0.04,IF(E154="Beverages",0.06,IF(E154="Desserts",0.05,IF(E154="North Indian",0.01,0)))))</x:f>
        <x:v>37022.94</x:v>
      </x:c>
      <x:c r="N154" s="195" t="n">
        <x:f>L154-M154</x:f>
        <x:v>13008.059999999998</x:v>
      </x:c>
      <x:c r="O154" s="195" t="n">
        <x:f>L154*0.13</x:f>
        <x:v>6504.030000000001</x:v>
      </x:c>
      <x:c r="P154" s="195" t="n">
        <x:f>N154-O154</x:f>
        <x:v>6504.029999999997</x:v>
      </x:c>
      <x:c r="Q154" s="195" t="n">
        <x:v>51529.59847390989</x:v>
      </x:c>
    </x:row>
    <x:row r="155">
      <x:c r="A155" s="192" t="str">
        <x:v>ZOM-0151</x:v>
      </x:c>
      <x:c r="B155" s="193" t="n">
        <x:v>45808</x:v>
      </x:c>
      <x:c r="C155" s="236" t="str">
        <x:v>North</x:v>
      </x:c>
      <x:c r="D155" s="192" t="str">
        <x:v>Noida</x:v>
      </x:c>
      <x:c r="E155" s="192" t="str">
        <x:v>South Indian</x:v>
      </x:c>
      <x:c r="F155" s="192" t="str">
        <x:v>Repeat User</x:v>
      </x:c>
      <x:c r="G155" s="192" t="str">
        <x:v>Repeat User Customer 45</x:v>
      </x:c>
      <x:c r="H155" s="194" t="n">
        <x:v>137</x:v>
      </x:c>
      <x:c r="I155" s="195" t="n">
        <x:v>313</x:v>
      </x:c>
      <x:c r="J155" s="196" t="n">
        <x:v>0.05</x:v>
      </x:c>
      <x:c r="K155" s="195" t="n">
        <x:f>H155*I155</x:f>
        <x:v>42881</x:v>
      </x:c>
      <x:c r="L155" s="195" t="n">
        <x:f>K155*(1-J155)</x:f>
        <x:v>40736.95</x:v>
      </x:c>
      <x:c r="M155" s="195" t="n">
        <x:f>L155*(0.74-IF(E155="Healthy",0.04,IF(E155="Beverages",0.06,IF(E155="Desserts",0.05,IF(E155="North Indian",0.01,0)))))</x:f>
        <x:v>30145.342999999997</x:v>
      </x:c>
      <x:c r="N155" s="195" t="n">
        <x:f>L155-M155</x:f>
        <x:v>10591.607</x:v>
      </x:c>
      <x:c r="O155" s="195" t="n">
        <x:f>L155*0.13</x:f>
        <x:v>5295.8035</x:v>
      </x:c>
      <x:c r="P155" s="195" t="n">
        <x:f>N155-O155</x:f>
        <x:v>5295.8035</x:v>
      </x:c>
      <x:c r="Q155" s="195" t="n">
        <x:v>43728.071224046005</x:v>
      </x:c>
    </x:row>
    <x:row r="156">
      <x:c r="A156" s="192" t="str">
        <x:v>ZOM-0152</x:v>
      </x:c>
      <x:c r="B156" s="193" t="n">
        <x:v>45809</x:v>
      </x:c>
      <x:c r="C156" s="236" t="str">
        <x:v>Metro</x:v>
      </x:c>
      <x:c r="D156" s="192" t="str">
        <x:v>Hyderabad</x:v>
      </x:c>
      <x:c r="E156" s="192" t="str">
        <x:v>Biryani</x:v>
      </x:c>
      <x:c r="F156" s="192" t="str">
        <x:v>New User</x:v>
      </x:c>
      <x:c r="G156" s="192" t="str">
        <x:v>New User Customer 21</x:v>
      </x:c>
      <x:c r="H156" s="194" t="n">
        <x:v>87</x:v>
      </x:c>
      <x:c r="I156" s="195" t="n">
        <x:v>467</x:v>
      </x:c>
      <x:c r="J156" s="196" t="n">
        <x:v>0.09</x:v>
      </x:c>
      <x:c r="K156" s="195" t="n">
        <x:f>H156*I156</x:f>
        <x:v>40629</x:v>
      </x:c>
      <x:c r="L156" s="195" t="n">
        <x:f>K156*(1-J156)</x:f>
        <x:v>36972.39</x:v>
      </x:c>
      <x:c r="M156" s="195" t="n">
        <x:f>L156*(0.74-IF(E156="Healthy",0.04,IF(E156="Beverages",0.06,IF(E156="Desserts",0.05,IF(E156="North Indian",0.01,0)))))</x:f>
        <x:v>27359.5686</x:v>
      </x:c>
      <x:c r="N156" s="195" t="n">
        <x:f>L156-M156</x:f>
        <x:v>9612.8214</x:v>
      </x:c>
      <x:c r="O156" s="195" t="n">
        <x:f>L156*0.13</x:f>
        <x:v>4806.4107</x:v>
      </x:c>
      <x:c r="P156" s="195" t="n">
        <x:f>N156-O156</x:f>
        <x:v>4806.4107</x:v>
      </x:c>
      <x:c r="Q156" s="195" t="n">
        <x:v>41265.156165563676</x:v>
      </x:c>
    </x:row>
    <x:row r="157">
      <x:c r="A157" s="192" t="str">
        <x:v>ZOM-0153</x:v>
      </x:c>
      <x:c r="B157" s="193" t="n">
        <x:v>45810</x:v>
      </x:c>
      <x:c r="C157" s="236" t="str">
        <x:v>East</x:v>
      </x:c>
      <x:c r="D157" s="192" t="str">
        <x:v>Kolkata</x:v>
      </x:c>
      <x:c r="E157" s="192" t="str">
        <x:v>Chinese</x:v>
      </x:c>
      <x:c r="F157" s="192" t="str">
        <x:v>Repeat User</x:v>
      </x:c>
      <x:c r="G157" s="192" t="str">
        <x:v>Repeat User Customer 13</x:v>
      </x:c>
      <x:c r="H157" s="194" t="n">
        <x:v>101</x:v>
      </x:c>
      <x:c r="I157" s="195" t="n">
        <x:v>522</x:v>
      </x:c>
      <x:c r="J157" s="196" t="n">
        <x:v>0.05</x:v>
      </x:c>
      <x:c r="K157" s="195" t="n">
        <x:f>H157*I157</x:f>
        <x:v>52722</x:v>
      </x:c>
      <x:c r="L157" s="195" t="n">
        <x:f>K157*(1-J157)</x:f>
        <x:v>50085.899999999994</x:v>
      </x:c>
      <x:c r="M157" s="195" t="n">
        <x:f>L157*(0.74-IF(E157="Healthy",0.04,IF(E157="Beverages",0.06,IF(E157="Desserts",0.05,IF(E157="North Indian",0.01,0)))))</x:f>
        <x:v>37063.56599999999</x:v>
      </x:c>
      <x:c r="N157" s="195" t="n">
        <x:f>L157-M157</x:f>
        <x:v>13022.334000000003</x:v>
      </x:c>
      <x:c r="O157" s="195" t="n">
        <x:f>L157*0.13</x:f>
        <x:v>6511.1669999999995</x:v>
      </x:c>
      <x:c r="P157" s="195" t="n">
        <x:f>N157-O157</x:f>
        <x:v>6511.167000000003</x:v>
      </x:c>
      <x:c r="Q157" s="195" t="n">
        <x:v>50815.32573465769</x:v>
      </x:c>
    </x:row>
    <x:row r="158">
      <x:c r="A158" s="192" t="str">
        <x:v>ZOM-0154</x:v>
      </x:c>
      <x:c r="B158" s="193" t="n">
        <x:v>45811</x:v>
      </x:c>
      <x:c r="C158" s="236" t="str">
        <x:v>Central</x:v>
      </x:c>
      <x:c r="D158" s="192" t="str">
        <x:v>Indore</x:v>
      </x:c>
      <x:c r="E158" s="192" t="str">
        <x:v>Healthy</x:v>
      </x:c>
      <x:c r="F158" s="192" t="str">
        <x:v>New User</x:v>
      </x:c>
      <x:c r="G158" s="192" t="str">
        <x:v>New User Customer 06</x:v>
      </x:c>
      <x:c r="H158" s="194" t="n">
        <x:v>118</x:v>
      </x:c>
      <x:c r="I158" s="195" t="n">
        <x:v>416</x:v>
      </x:c>
      <x:c r="J158" s="196" t="n">
        <x:v>0.09</x:v>
      </x:c>
      <x:c r="K158" s="195" t="n">
        <x:f>H158*I158</x:f>
        <x:v>49088</x:v>
      </x:c>
      <x:c r="L158" s="195" t="n">
        <x:f>K158*(1-J158)</x:f>
        <x:v>44670.08</x:v>
      </x:c>
      <x:c r="M158" s="195" t="n">
        <x:f>L158*(0.74-IF(E158="Healthy",0.04,IF(E158="Beverages",0.06,IF(E158="Desserts",0.05,IF(E158="North Indian",0.01,0)))))</x:f>
        <x:v>31269.056</x:v>
      </x:c>
      <x:c r="N158" s="195" t="n">
        <x:f>L158-M158</x:f>
        <x:v>13401.024000000001</x:v>
      </x:c>
      <x:c r="O158" s="195" t="n">
        <x:f>L158*0.13</x:f>
        <x:v>5807.1104000000005</x:v>
      </x:c>
      <x:c r="P158" s="195" t="n">
        <x:f>N158-O158</x:f>
        <x:v>7593.913600000001</x:v>
      </x:c>
      <x:c r="Q158" s="195" t="n">
        <x:v>47950.373877695325</x:v>
      </x:c>
    </x:row>
    <x:row r="159">
      <x:c r="A159" s="192" t="str">
        <x:v>ZOM-0155</x:v>
      </x:c>
      <x:c r="B159" s="193" t="n">
        <x:v>45812</x:v>
      </x:c>
      <x:c r="C159" s="236" t="str">
        <x:v>North</x:v>
      </x:c>
      <x:c r="D159" s="192" t="str">
        <x:v>Jaipur</x:v>
      </x:c>
      <x:c r="E159" s="192" t="str">
        <x:v>Snacks</x:v>
      </x:c>
      <x:c r="F159" s="192" t="str">
        <x:v>Budget</x:v>
      </x:c>
      <x:c r="G159" s="192" t="str">
        <x:v>Budget Customer 42</x:v>
      </x:c>
      <x:c r="H159" s="194" t="n">
        <x:v>115</x:v>
      </x:c>
      <x:c r="I159" s="195" t="n">
        <x:v>239</x:v>
      </x:c>
      <x:c r="J159" s="196" t="n">
        <x:v>0.11</x:v>
      </x:c>
      <x:c r="K159" s="195" t="n">
        <x:f>H159*I159</x:f>
        <x:v>27485</x:v>
      </x:c>
      <x:c r="L159" s="195" t="n">
        <x:f>K159*(1-J159)</x:f>
        <x:v>24461.65</x:v>
      </x:c>
      <x:c r="M159" s="195" t="n">
        <x:f>L159*(0.74-IF(E159="Healthy",0.04,IF(E159="Beverages",0.06,IF(E159="Desserts",0.05,IF(E159="North Indian",0.01,0)))))</x:f>
        <x:v>18101.621</x:v>
      </x:c>
      <x:c r="N159" s="195" t="n">
        <x:f>L159-M159</x:f>
        <x:v>6360.029000000002</x:v>
      </x:c>
      <x:c r="O159" s="195" t="n">
        <x:f>L159*0.13</x:f>
        <x:v>3180.0145</x:v>
      </x:c>
      <x:c r="P159" s="195" t="n">
        <x:f>N159-O159</x:f>
        <x:v>3180.014500000002</x:v>
      </x:c>
      <x:c r="Q159" s="195" t="n">
        <x:v>27315.97151912605</x:v>
      </x:c>
    </x:row>
    <x:row r="160">
      <x:c r="A160" s="192" t="str">
        <x:v>ZOM-0156</x:v>
      </x:c>
      <x:c r="B160" s="193" t="n">
        <x:v>45813</x:v>
      </x:c>
      <x:c r="C160" s="236" t="str">
        <x:v>North</x:v>
      </x:c>
      <x:c r="D160" s="192" t="str">
        <x:v>Jaipur</x:v>
      </x:c>
      <x:c r="E160" s="192" t="str">
        <x:v>Burgers</x:v>
      </x:c>
      <x:c r="F160" s="192" t="str">
        <x:v>Repeat User</x:v>
      </x:c>
      <x:c r="G160" s="192" t="str">
        <x:v>Repeat User Customer 56</x:v>
      </x:c>
      <x:c r="H160" s="194" t="n">
        <x:v>144</x:v>
      </x:c>
      <x:c r="I160" s="195" t="n">
        <x:v>449</x:v>
      </x:c>
      <x:c r="J160" s="196" t="n">
        <x:v>0.05</x:v>
      </x:c>
      <x:c r="K160" s="195" t="n">
        <x:f>H160*I160</x:f>
        <x:v>64656</x:v>
      </x:c>
      <x:c r="L160" s="195" t="n">
        <x:f>K160*(1-J160)</x:f>
        <x:v>61423.2</x:v>
      </x:c>
      <x:c r="M160" s="195" t="n">
        <x:f>L160*(0.74-IF(E160="Healthy",0.04,IF(E160="Beverages",0.06,IF(E160="Desserts",0.05,IF(E160="North Indian",0.01,0)))))</x:f>
        <x:v>45453.168</x:v>
      </x:c>
      <x:c r="N160" s="195" t="n">
        <x:f>L160-M160</x:f>
        <x:v>15970.032</x:v>
      </x:c>
      <x:c r="O160" s="195" t="n">
        <x:f>L160*0.13</x:f>
        <x:v>7985.016</x:v>
      </x:c>
      <x:c r="P160" s="195" t="n">
        <x:f>N160-O160</x:f>
        <x:v>7985.016</x:v>
      </x:c>
      <x:c r="Q160" s="195" t="n">
        <x:v>65129.70035134047</x:v>
      </x:c>
    </x:row>
    <x:row r="161">
      <x:c r="A161" s="192" t="str">
        <x:v>ZOM-0157</x:v>
      </x:c>
      <x:c r="B161" s="193" t="n">
        <x:v>45814</x:v>
      </x:c>
      <x:c r="C161" s="236" t="str">
        <x:v>North</x:v>
      </x:c>
      <x:c r="D161" s="192" t="str">
        <x:v>Delhi</x:v>
      </x:c>
      <x:c r="E161" s="192" t="str">
        <x:v>Chinese</x:v>
      </x:c>
      <x:c r="F161" s="192" t="str">
        <x:v>Repeat User</x:v>
      </x:c>
      <x:c r="G161" s="192" t="str">
        <x:v>Repeat User Customer 55</x:v>
      </x:c>
      <x:c r="H161" s="194" t="n">
        <x:v>93</x:v>
      </x:c>
      <x:c r="I161" s="195" t="n">
        <x:v>422</x:v>
      </x:c>
      <x:c r="J161" s="196" t="n">
        <x:v>0.05</x:v>
      </x:c>
      <x:c r="K161" s="195" t="n">
        <x:f>H161*I161</x:f>
        <x:v>39246</x:v>
      </x:c>
      <x:c r="L161" s="195" t="n">
        <x:f>K161*(1-J161)</x:f>
        <x:v>37283.7</x:v>
      </x:c>
      <x:c r="M161" s="195" t="n">
        <x:f>L161*(0.74-IF(E161="Healthy",0.04,IF(E161="Beverages",0.06,IF(E161="Desserts",0.05,IF(E161="North Indian",0.01,0)))))</x:f>
        <x:v>27589.938</x:v>
      </x:c>
      <x:c r="N161" s="195" t="n">
        <x:f>L161-M161</x:f>
        <x:v>9693.761999999999</x:v>
      </x:c>
      <x:c r="O161" s="195" t="n">
        <x:f>L161*0.13</x:f>
        <x:v>4846.880999999999</x:v>
      </x:c>
      <x:c r="P161" s="195" t="n">
        <x:f>N161-O161</x:f>
        <x:v>4846.880999999999</x:v>
      </x:c>
      <x:c r="Q161" s="195" t="n">
        <x:v>41287.63792859805</x:v>
      </x:c>
    </x:row>
    <x:row r="162">
      <x:c r="A162" s="192" t="str">
        <x:v>ZOM-0158</x:v>
      </x:c>
      <x:c r="B162" s="193" t="n">
        <x:v>45815</x:v>
      </x:c>
      <x:c r="C162" s="236" t="str">
        <x:v>North</x:v>
      </x:c>
      <x:c r="D162" s="192" t="str">
        <x:v>Noida</x:v>
      </x:c>
      <x:c r="E162" s="192" t="str">
        <x:v>Burgers</x:v>
      </x:c>
      <x:c r="F162" s="192" t="str">
        <x:v>Gold User</x:v>
      </x:c>
      <x:c r="G162" s="192" t="str">
        <x:v>Gold User Customer 10</x:v>
      </x:c>
      <x:c r="H162" s="194" t="n">
        <x:v>99</x:v>
      </x:c>
      <x:c r="I162" s="195" t="n">
        <x:v>446</x:v>
      </x:c>
      <x:c r="J162" s="196" t="n">
        <x:v>0.009999999999999998</x:v>
      </x:c>
      <x:c r="K162" s="195" t="n">
        <x:f>H162*I162</x:f>
        <x:v>44154</x:v>
      </x:c>
      <x:c r="L162" s="195" t="n">
        <x:f>K162*(1-J162)</x:f>
        <x:v>43712.46</x:v>
      </x:c>
      <x:c r="M162" s="195" t="n">
        <x:f>L162*(0.74-IF(E162="Healthy",0.04,IF(E162="Beverages",0.06,IF(E162="Desserts",0.05,IF(E162="North Indian",0.01,0)))))</x:f>
        <x:v>32347.2204</x:v>
      </x:c>
      <x:c r="N162" s="195" t="n">
        <x:f>L162-M162</x:f>
        <x:v>11365.2396</x:v>
      </x:c>
      <x:c r="O162" s="195" t="n">
        <x:f>L162*0.13</x:f>
        <x:v>5682.6198</x:v>
      </x:c>
      <x:c r="P162" s="195" t="n">
        <x:f>N162-O162</x:f>
        <x:v>5682.6198</x:v>
      </x:c>
      <x:c r="Q162" s="195" t="n">
        <x:v>48651.65493515118</x:v>
      </x:c>
    </x:row>
    <x:row r="163">
      <x:c r="A163" s="192" t="str">
        <x:v>ZOM-0159</x:v>
      </x:c>
      <x:c r="B163" s="193" t="n">
        <x:v>45816</x:v>
      </x:c>
      <x:c r="C163" s="236" t="str">
        <x:v>North</x:v>
      </x:c>
      <x:c r="D163" s="192" t="str">
        <x:v>Lucknow</x:v>
      </x:c>
      <x:c r="E163" s="192" t="str">
        <x:v>Desserts</x:v>
      </x:c>
      <x:c r="F163" s="192" t="str">
        <x:v>Corporate</x:v>
      </x:c>
      <x:c r="G163" s="192" t="str">
        <x:v>Corporate Customer 17</x:v>
      </x:c>
      <x:c r="H163" s="194" t="n">
        <x:v>169</x:v>
      </x:c>
      <x:c r="I163" s="195" t="n">
        <x:v>235</x:v>
      </x:c>
      <x:c r="J163" s="196" t="n">
        <x:v>0</x:v>
      </x:c>
      <x:c r="K163" s="195" t="n">
        <x:f>H163*I163</x:f>
        <x:v>39715</x:v>
      </x:c>
      <x:c r="L163" s="195" t="n">
        <x:f>K163*(1-J163)</x:f>
        <x:v>39715</x:v>
      </x:c>
      <x:c r="M163" s="195" t="n">
        <x:f>L163*(0.74-IF(E163="Healthy",0.04,IF(E163="Beverages",0.06,IF(E163="Desserts",0.05,IF(E163="North Indian",0.01,0)))))</x:f>
        <x:v>27403.35</x:v>
      </x:c>
      <x:c r="N163" s="195" t="n">
        <x:f>L163-M163</x:f>
        <x:v>12311.650000000001</x:v>
      </x:c>
      <x:c r="O163" s="195" t="n">
        <x:f>L163*0.13</x:f>
        <x:v>5162.95</x:v>
      </x:c>
      <x:c r="P163" s="195" t="n">
        <x:f>N163-O163</x:f>
        <x:v>7148.700000000002</x:v>
      </x:c>
      <x:c r="Q163" s="195" t="n">
        <x:v>43389.53840520067</x:v>
      </x:c>
    </x:row>
    <x:row r="164">
      <x:c r="A164" s="192" t="str">
        <x:v>ZOM-0160</x:v>
      </x:c>
      <x:c r="B164" s="193" t="n">
        <x:v>45817</x:v>
      </x:c>
      <x:c r="C164" s="236" t="str">
        <x:v>East</x:v>
      </x:c>
      <x:c r="D164" s="192" t="str">
        <x:v>Guwahati</x:v>
      </x:c>
      <x:c r="E164" s="192" t="str">
        <x:v>South Indian</x:v>
      </x:c>
      <x:c r="F164" s="192" t="str">
        <x:v>Corporate</x:v>
      </x:c>
      <x:c r="G164" s="192" t="str">
        <x:v>Corporate Customer 52</x:v>
      </x:c>
      <x:c r="H164" s="194" t="n">
        <x:v>142</x:v>
      </x:c>
      <x:c r="I164" s="195" t="n">
        <x:v>433</x:v>
      </x:c>
      <x:c r="J164" s="196" t="n">
        <x:v>0.02</x:v>
      </x:c>
      <x:c r="K164" s="195" t="n">
        <x:f>H164*I164</x:f>
        <x:v>61486</x:v>
      </x:c>
      <x:c r="L164" s="195" t="n">
        <x:f>K164*(1-J164)</x:f>
        <x:v>60256.28</x:v>
      </x:c>
      <x:c r="M164" s="195" t="n">
        <x:f>L164*(0.74-IF(E164="Healthy",0.04,IF(E164="Beverages",0.06,IF(E164="Desserts",0.05,IF(E164="North Indian",0.01,0)))))</x:f>
        <x:v>44589.6472</x:v>
      </x:c>
      <x:c r="N164" s="195" t="n">
        <x:f>L164-M164</x:f>
        <x:v>15666.6328</x:v>
      </x:c>
      <x:c r="O164" s="195" t="n">
        <x:f>L164*0.13</x:f>
        <x:v>7833.3164</x:v>
      </x:c>
      <x:c r="P164" s="195" t="n">
        <x:f>N164-O164</x:f>
        <x:v>7833.3164</x:v>
      </x:c>
      <x:c r="Q164" s="195" t="n">
        <x:v>62026.93183398533</x:v>
      </x:c>
    </x:row>
    <x:row r="165">
      <x:c r="A165" s="192" t="str">
        <x:v>ZOM-0161</x:v>
      </x:c>
      <x:c r="B165" s="193" t="n">
        <x:v>45818</x:v>
      </x:c>
      <x:c r="C165" s="236" t="str">
        <x:v>East</x:v>
      </x:c>
      <x:c r="D165" s="192" t="str">
        <x:v>Patna</x:v>
      </x:c>
      <x:c r="E165" s="192" t="str">
        <x:v>South Indian</x:v>
      </x:c>
      <x:c r="F165" s="192" t="str">
        <x:v>Budget</x:v>
      </x:c>
      <x:c r="G165" s="192" t="str">
        <x:v>Budget Customer 56</x:v>
      </x:c>
      <x:c r="H165" s="194" t="n">
        <x:v>68</x:v>
      </x:c>
      <x:c r="I165" s="195" t="n">
        <x:v>363</x:v>
      </x:c>
      <x:c r="J165" s="196" t="n">
        <x:v>0.11</x:v>
      </x:c>
      <x:c r="K165" s="195" t="n">
        <x:f>H165*I165</x:f>
        <x:v>24684</x:v>
      </x:c>
      <x:c r="L165" s="195" t="n">
        <x:f>K165*(1-J165)</x:f>
        <x:v>21968.760000000002</x:v>
      </x:c>
      <x:c r="M165" s="195" t="n">
        <x:f>L165*(0.74-IF(E165="Healthy",0.04,IF(E165="Beverages",0.06,IF(E165="Desserts",0.05,IF(E165="North Indian",0.01,0)))))</x:f>
        <x:v>16256.8824</x:v>
      </x:c>
      <x:c r="N165" s="195" t="n">
        <x:f>L165-M165</x:f>
        <x:v>5711.877600000002</x:v>
      </x:c>
      <x:c r="O165" s="195" t="n">
        <x:f>L165*0.13</x:f>
        <x:v>2855.9388000000004</x:v>
      </x:c>
      <x:c r="P165" s="195" t="n">
        <x:f>N165-O165</x:f>
        <x:v>2855.9388000000013</x:v>
      </x:c>
      <x:c r="Q165" s="195" t="n">
        <x:v>22347.50675947993</x:v>
      </x:c>
    </x:row>
    <x:row r="166">
      <x:c r="A166" s="192" t="str">
        <x:v>ZOM-0162</x:v>
      </x:c>
      <x:c r="B166" s="193" t="n">
        <x:v>45819</x:v>
      </x:c>
      <x:c r="C166" s="236" t="str">
        <x:v>East</x:v>
      </x:c>
      <x:c r="D166" s="192" t="str">
        <x:v>Patna</x:v>
      </x:c>
      <x:c r="E166" s="192" t="str">
        <x:v>Snacks</x:v>
      </x:c>
      <x:c r="F166" s="192" t="str">
        <x:v>New User</x:v>
      </x:c>
      <x:c r="G166" s="192" t="str">
        <x:v>New User Customer 16</x:v>
      </x:c>
      <x:c r="H166" s="194" t="n">
        <x:v>103</x:v>
      </x:c>
      <x:c r="I166" s="195" t="n">
        <x:v>250</x:v>
      </x:c>
      <x:c r="J166" s="196" t="n">
        <x:v>0.06</x:v>
      </x:c>
      <x:c r="K166" s="195" t="n">
        <x:f>H166*I166</x:f>
        <x:v>25750</x:v>
      </x:c>
      <x:c r="L166" s="195" t="n">
        <x:f>K166*(1-J166)</x:f>
        <x:v>24205</x:v>
      </x:c>
      <x:c r="M166" s="195" t="n">
        <x:f>L166*(0.74-IF(E166="Healthy",0.04,IF(E166="Beverages",0.06,IF(E166="Desserts",0.05,IF(E166="North Indian",0.01,0)))))</x:f>
        <x:v>17911.7</x:v>
      </x:c>
      <x:c r="N166" s="195" t="n">
        <x:f>L166-M166</x:f>
        <x:v>6293.299999999999</x:v>
      </x:c>
      <x:c r="O166" s="195" t="n">
        <x:f>L166*0.13</x:f>
        <x:v>3146.65</x:v>
      </x:c>
      <x:c r="P166" s="195" t="n">
        <x:f>N166-O166</x:f>
        <x:v>3146.649999999999</x:v>
      </x:c>
      <x:c r="Q166" s="195" t="n">
        <x:v>24981.898225619618</x:v>
      </x:c>
    </x:row>
    <x:row r="167">
      <x:c r="A167" s="192" t="str">
        <x:v>ZOM-0163</x:v>
      </x:c>
      <x:c r="B167" s="193" t="n">
        <x:v>45820</x:v>
      </x:c>
      <x:c r="C167" s="236" t="str">
        <x:v>North</x:v>
      </x:c>
      <x:c r="D167" s="192" t="str">
        <x:v>Delhi</x:v>
      </x:c>
      <x:c r="E167" s="192" t="str">
        <x:v>Pizza</x:v>
      </x:c>
      <x:c r="F167" s="192" t="str">
        <x:v>Repeat User</x:v>
      </x:c>
      <x:c r="G167" s="192" t="str">
        <x:v>Repeat User Customer 13</x:v>
      </x:c>
      <x:c r="H167" s="194" t="n">
        <x:v>153</x:v>
      </x:c>
      <x:c r="I167" s="195" t="n">
        <x:v>620</x:v>
      </x:c>
      <x:c r="J167" s="196" t="n">
        <x:v>0.05</x:v>
      </x:c>
      <x:c r="K167" s="195" t="n">
        <x:f>H167*I167</x:f>
        <x:v>94860</x:v>
      </x:c>
      <x:c r="L167" s="195" t="n">
        <x:f>K167*(1-J167)</x:f>
        <x:v>90117</x:v>
      </x:c>
      <x:c r="M167" s="195" t="n">
        <x:f>L167*(0.74-IF(E167="Healthy",0.04,IF(E167="Beverages",0.06,IF(E167="Desserts",0.05,IF(E167="North Indian",0.01,0)))))</x:f>
        <x:v>66686.58</x:v>
      </x:c>
      <x:c r="N167" s="195" t="n">
        <x:f>L167-M167</x:f>
        <x:v>23430.42</x:v>
      </x:c>
      <x:c r="O167" s="195" t="n">
        <x:f>L167*0.13</x:f>
        <x:v>11715.210000000001</x:v>
      </x:c>
      <x:c r="P167" s="195" t="n">
        <x:f>N167-O167</x:f>
        <x:v>11715.209999999997</x:v>
      </x:c>
      <x:c r="Q167" s="195" t="n">
        <x:v>97915.31167441959</x:v>
      </x:c>
    </x:row>
    <x:row r="168">
      <x:c r="A168" s="192" t="str">
        <x:v>ZOM-0164</x:v>
      </x:c>
      <x:c r="B168" s="193" t="n">
        <x:v>45821</x:v>
      </x:c>
      <x:c r="C168" s="236" t="str">
        <x:v>Central</x:v>
      </x:c>
      <x:c r="D168" s="192" t="str">
        <x:v>Kanpur</x:v>
      </x:c>
      <x:c r="E168" s="192" t="str">
        <x:v>Snacks</x:v>
      </x:c>
      <x:c r="F168" s="192" t="str">
        <x:v>Gold User</x:v>
      </x:c>
      <x:c r="G168" s="192" t="str">
        <x:v>Gold User Customer 14</x:v>
      </x:c>
      <x:c r="H168" s="194" t="n">
        <x:v>108</x:v>
      </x:c>
      <x:c r="I168" s="195" t="n">
        <x:v>248</x:v>
      </x:c>
      <x:c r="J168" s="196" t="n">
        <x:v>0.009999999999999998</x:v>
      </x:c>
      <x:c r="K168" s="195" t="n">
        <x:f>H168*I168</x:f>
        <x:v>26784</x:v>
      </x:c>
      <x:c r="L168" s="195" t="n">
        <x:f>K168*(1-J168)</x:f>
        <x:v>26516.16</x:v>
      </x:c>
      <x:c r="M168" s="195" t="n">
        <x:f>L168*(0.74-IF(E168="Healthy",0.04,IF(E168="Beverages",0.06,IF(E168="Desserts",0.05,IF(E168="North Indian",0.01,0)))))</x:f>
        <x:v>19621.9584</x:v>
      </x:c>
      <x:c r="N168" s="195" t="n">
        <x:f>L168-M168</x:f>
        <x:v>6894.2016</x:v>
      </x:c>
      <x:c r="O168" s="195" t="n">
        <x:f>L168*0.13</x:f>
        <x:v>3447.1008</x:v>
      </x:c>
      <x:c r="P168" s="195" t="n">
        <x:f>N168-O168</x:f>
        <x:v>3447.1008</x:v>
      </x:c>
      <x:c r="Q168" s="195" t="n">
        <x:v>29592.098083870842</x:v>
      </x:c>
    </x:row>
    <x:row r="169">
      <x:c r="A169" s="192" t="str">
        <x:v>ZOM-0165</x:v>
      </x:c>
      <x:c r="B169" s="193" t="n">
        <x:v>45822</x:v>
      </x:c>
      <x:c r="C169" s="236" t="str">
        <x:v>West</x:v>
      </x:c>
      <x:c r="D169" s="192" t="str">
        <x:v>Mumbai</x:v>
      </x:c>
      <x:c r="E169" s="192" t="str">
        <x:v>North Indian</x:v>
      </x:c>
      <x:c r="F169" s="192" t="str">
        <x:v>Gold User</x:v>
      </x:c>
      <x:c r="G169" s="192" t="str">
        <x:v>Gold User Customer 47</x:v>
      </x:c>
      <x:c r="H169" s="194" t="n">
        <x:v>164</x:v>
      </x:c>
      <x:c r="I169" s="195" t="n">
        <x:v>490</x:v>
      </x:c>
      <x:c r="J169" s="196" t="n">
        <x:v>0.009999999999999998</x:v>
      </x:c>
      <x:c r="K169" s="195" t="n">
        <x:f>H169*I169</x:f>
        <x:v>80360</x:v>
      </x:c>
      <x:c r="L169" s="195" t="n">
        <x:f>K169*(1-J169)</x:f>
        <x:v>79556.4</x:v>
      </x:c>
      <x:c r="M169" s="195" t="n">
        <x:f>L169*(0.74-IF(E169="Healthy",0.04,IF(E169="Beverages",0.06,IF(E169="Desserts",0.05,IF(E169="North Indian",0.01,0)))))</x:f>
        <x:v>58076.17199999999</x:v>
      </x:c>
      <x:c r="N169" s="195" t="n">
        <x:f>L169-M169</x:f>
        <x:v>21480.228000000003</x:v>
      </x:c>
      <x:c r="O169" s="195" t="n">
        <x:f>L169*0.13</x:f>
        <x:v>10342.332</x:v>
      </x:c>
      <x:c r="P169" s="195" t="n">
        <x:f>N169-O169</x:f>
        <x:v>11137.896000000002</x:v>
      </x:c>
      <x:c r="Q169" s="195" t="n">
        <x:v>87981.00013335023</x:v>
      </x:c>
    </x:row>
    <x:row r="170">
      <x:c r="A170" s="192" t="str">
        <x:v>ZOM-0166</x:v>
      </x:c>
      <x:c r="B170" s="193" t="n">
        <x:v>45823</x:v>
      </x:c>
      <x:c r="C170" s="236" t="str">
        <x:v>South</x:v>
      </x:c>
      <x:c r="D170" s="192" t="str">
        <x:v>Kochi</x:v>
      </x:c>
      <x:c r="E170" s="192" t="str">
        <x:v>Pizza</x:v>
      </x:c>
      <x:c r="F170" s="192" t="str">
        <x:v>Repeat User</x:v>
      </x:c>
      <x:c r="G170" s="192" t="str">
        <x:v>Repeat User Customer 49</x:v>
      </x:c>
      <x:c r="H170" s="194" t="n">
        <x:v>155</x:v>
      </x:c>
      <x:c r="I170" s="195" t="n">
        <x:v>658</x:v>
      </x:c>
      <x:c r="J170" s="196" t="n">
        <x:v>0.05</x:v>
      </x:c>
      <x:c r="K170" s="195" t="n">
        <x:f>H170*I170</x:f>
        <x:v>101990</x:v>
      </x:c>
      <x:c r="L170" s="195" t="n">
        <x:f>K170*(1-J170)</x:f>
        <x:v>96890.5</x:v>
      </x:c>
      <x:c r="M170" s="195" t="n">
        <x:f>L170*(0.74-IF(E170="Healthy",0.04,IF(E170="Beverages",0.06,IF(E170="Desserts",0.05,IF(E170="North Indian",0.01,0)))))</x:f>
        <x:v>71698.97</x:v>
      </x:c>
      <x:c r="N170" s="195" t="n">
        <x:f>L170-M170</x:f>
        <x:v>25191.53</x:v>
      </x:c>
      <x:c r="O170" s="195" t="n">
        <x:f>L170*0.13</x:f>
        <x:v>12595.765000000001</x:v>
      </x:c>
      <x:c r="P170" s="195" t="n">
        <x:f>N170-O170</x:f>
        <x:v>12595.764999999998</x:v>
      </x:c>
      <x:c r="Q170" s="195" t="n">
        <x:v>102753.40844134142</x:v>
      </x:c>
    </x:row>
    <x:row r="171">
      <x:c r="A171" s="192" t="str">
        <x:v>ZOM-0167</x:v>
      </x:c>
      <x:c r="B171" s="193" t="n">
        <x:v>45824</x:v>
      </x:c>
      <x:c r="C171" s="236" t="str">
        <x:v>West</x:v>
      </x:c>
      <x:c r="D171" s="192" t="str">
        <x:v>Nagpur</x:v>
      </x:c>
      <x:c r="E171" s="192" t="str">
        <x:v>Burgers</x:v>
      </x:c>
      <x:c r="F171" s="192" t="str">
        <x:v>New User</x:v>
      </x:c>
      <x:c r="G171" s="192" t="str">
        <x:v>New User Customer 39</x:v>
      </x:c>
      <x:c r="H171" s="194" t="n">
        <x:v>88</x:v>
      </x:c>
      <x:c r="I171" s="195" t="n">
        <x:v>406</x:v>
      </x:c>
      <x:c r="J171" s="196" t="n">
        <x:v>0.08</x:v>
      </x:c>
      <x:c r="K171" s="195" t="n">
        <x:f>H171*I171</x:f>
        <x:v>35728</x:v>
      </x:c>
      <x:c r="L171" s="195" t="n">
        <x:f>K171*(1-J171)</x:f>
        <x:v>32869.76</x:v>
      </x:c>
      <x:c r="M171" s="195" t="n">
        <x:f>L171*(0.74-IF(E171="Healthy",0.04,IF(E171="Beverages",0.06,IF(E171="Desserts",0.05,IF(E171="North Indian",0.01,0)))))</x:f>
        <x:v>24323.6224</x:v>
      </x:c>
      <x:c r="N171" s="195" t="n">
        <x:f>L171-M171</x:f>
        <x:v>8546.137600000002</x:v>
      </x:c>
      <x:c r="O171" s="195" t="n">
        <x:f>L171*0.13</x:f>
        <x:v>4273.0688</x:v>
      </x:c>
      <x:c r="P171" s="195" t="n">
        <x:f>N171-O171</x:f>
        <x:v>4273.068800000002</x:v>
      </x:c>
      <x:c r="Q171" s="195" t="n">
        <x:v>33438.804017394876</x:v>
      </x:c>
    </x:row>
    <x:row r="172">
      <x:c r="A172" s="192" t="str">
        <x:v>ZOM-0168</x:v>
      </x:c>
      <x:c r="B172" s="193" t="n">
        <x:v>45825</x:v>
      </x:c>
      <x:c r="C172" s="236" t="str">
        <x:v>West</x:v>
      </x:c>
      <x:c r="D172" s="192" t="str">
        <x:v>Nagpur</x:v>
      </x:c>
      <x:c r="E172" s="192" t="str">
        <x:v>North Indian</x:v>
      </x:c>
      <x:c r="F172" s="192" t="str">
        <x:v>New User</x:v>
      </x:c>
      <x:c r="G172" s="192" t="str">
        <x:v>New User Customer 60</x:v>
      </x:c>
      <x:c r="H172" s="194" t="n">
        <x:v>120</x:v>
      </x:c>
      <x:c r="I172" s="195" t="n">
        <x:v>606</x:v>
      </x:c>
      <x:c r="J172" s="196" t="n">
        <x:v>0.09</x:v>
      </x:c>
      <x:c r="K172" s="195" t="n">
        <x:f>H172*I172</x:f>
        <x:v>72720</x:v>
      </x:c>
      <x:c r="L172" s="195" t="n">
        <x:f>K172*(1-J172)</x:f>
        <x:v>66175.2</x:v>
      </x:c>
      <x:c r="M172" s="195" t="n">
        <x:f>L172*(0.74-IF(E172="Healthy",0.04,IF(E172="Beverages",0.06,IF(E172="Desserts",0.05,IF(E172="North Indian",0.01,0)))))</x:f>
        <x:v>48307.89599999999</x:v>
      </x:c>
      <x:c r="N172" s="195" t="n">
        <x:f>L172-M172</x:f>
        <x:v>17867.304000000004</x:v>
      </x:c>
      <x:c r="O172" s="195" t="n">
        <x:f>L172*0.13</x:f>
        <x:v>8602.776</x:v>
      </x:c>
      <x:c r="P172" s="195" t="n">
        <x:f>N172-O172</x:f>
        <x:v>9264.528000000004</x:v>
      </x:c>
      <x:c r="Q172" s="195" t="n">
        <x:v>67285.20416276193</x:v>
      </x:c>
    </x:row>
    <x:row r="173">
      <x:c r="A173" s="192" t="str">
        <x:v>ZOM-0169</x:v>
      </x:c>
      <x:c r="B173" s="193" t="n">
        <x:v>45826</x:v>
      </x:c>
      <x:c r="C173" s="236" t="str">
        <x:v>East</x:v>
      </x:c>
      <x:c r="D173" s="192" t="str">
        <x:v>Bhubaneswar</x:v>
      </x:c>
      <x:c r="E173" s="192" t="str">
        <x:v>South Indian</x:v>
      </x:c>
      <x:c r="F173" s="192" t="str">
        <x:v>Corporate</x:v>
      </x:c>
      <x:c r="G173" s="192" t="str">
        <x:v>Corporate Customer 24</x:v>
      </x:c>
      <x:c r="H173" s="194" t="n">
        <x:v>116</x:v>
      </x:c>
      <x:c r="I173" s="195" t="n">
        <x:v>387</x:v>
      </x:c>
      <x:c r="J173" s="196" t="n">
        <x:v>0.03</x:v>
      </x:c>
      <x:c r="K173" s="195" t="n">
        <x:f>H173*I173</x:f>
        <x:v>44892</x:v>
      </x:c>
      <x:c r="L173" s="195" t="n">
        <x:f>K173*(1-J173)</x:f>
        <x:v>43545.24</x:v>
      </x:c>
      <x:c r="M173" s="195" t="n">
        <x:f>L173*(0.74-IF(E173="Healthy",0.04,IF(E173="Beverages",0.06,IF(E173="Desserts",0.05,IF(E173="North Indian",0.01,0)))))</x:f>
        <x:v>32223.4776</x:v>
      </x:c>
      <x:c r="N173" s="195" t="n">
        <x:f>L173-M173</x:f>
        <x:v>11321.7624</x:v>
      </x:c>
      <x:c r="O173" s="195" t="n">
        <x:f>L173*0.13</x:f>
        <x:v>5660.8812</x:v>
      </x:c>
      <x:c r="P173" s="195" t="n">
        <x:f>N173-O173</x:f>
        <x:v>5660.8812</x:v>
      </x:c>
      <x:c r="Q173" s="195" t="n">
        <x:v>47807.87744679868</x:v>
      </x:c>
    </x:row>
    <x:row r="174">
      <x:c r="A174" s="192" t="str">
        <x:v>ZOM-0170</x:v>
      </x:c>
      <x:c r="B174" s="193" t="n">
        <x:v>45827</x:v>
      </x:c>
      <x:c r="C174" s="236" t="str">
        <x:v>South</x:v>
      </x:c>
      <x:c r="D174" s="192" t="str">
        <x:v>Bengaluru</x:v>
      </x:c>
      <x:c r="E174" s="192" t="str">
        <x:v>Snacks</x:v>
      </x:c>
      <x:c r="F174" s="192" t="str">
        <x:v>Corporate</x:v>
      </x:c>
      <x:c r="G174" s="192" t="str">
        <x:v>Corporate Customer 38</x:v>
      </x:c>
      <x:c r="H174" s="194" t="n">
        <x:v>189</x:v>
      </x:c>
      <x:c r="I174" s="195" t="n">
        <x:v>200</x:v>
      </x:c>
      <x:c r="J174" s="196" t="n">
        <x:v>0.03</x:v>
      </x:c>
      <x:c r="K174" s="195" t="n">
        <x:f>H174*I174</x:f>
        <x:v>37800</x:v>
      </x:c>
      <x:c r="L174" s="195" t="n">
        <x:f>K174*(1-J174)</x:f>
        <x:v>36666</x:v>
      </x:c>
      <x:c r="M174" s="195" t="n">
        <x:f>L174*(0.74-IF(E174="Healthy",0.04,IF(E174="Beverages",0.06,IF(E174="Desserts",0.05,IF(E174="North Indian",0.01,0)))))</x:f>
        <x:v>27132.84</x:v>
      </x:c>
      <x:c r="N174" s="195" t="n">
        <x:f>L174-M174</x:f>
        <x:v>9533.16</x:v>
      </x:c>
      <x:c r="O174" s="195" t="n">
        <x:f>L174*0.13</x:f>
        <x:v>4766.58</x:v>
      </x:c>
      <x:c r="P174" s="195" t="n">
        <x:f>N174-O174</x:f>
        <x:v>4766.58</x:v>
      </x:c>
      <x:c r="Q174" s="195" t="n">
        <x:v>40942.97243715831</x:v>
      </x:c>
    </x:row>
    <x:row r="175">
      <x:c r="A175" s="192" t="str">
        <x:v>ZOM-0171</x:v>
      </x:c>
      <x:c r="B175" s="193" t="n">
        <x:v>45828</x:v>
      </x:c>
      <x:c r="C175" s="236" t="str">
        <x:v>West</x:v>
      </x:c>
      <x:c r="D175" s="192" t="str">
        <x:v>Mumbai</x:v>
      </x:c>
      <x:c r="E175" s="192" t="str">
        <x:v>Chinese</x:v>
      </x:c>
      <x:c r="F175" s="192" t="str">
        <x:v>New User</x:v>
      </x:c>
      <x:c r="G175" s="192" t="str">
        <x:v>New User Customer 45</x:v>
      </x:c>
      <x:c r="H175" s="194" t="n">
        <x:v>160</x:v>
      </x:c>
      <x:c r="I175" s="195" t="n">
        <x:v>497</x:v>
      </x:c>
      <x:c r="J175" s="196" t="n">
        <x:v>0.09</x:v>
      </x:c>
      <x:c r="K175" s="195" t="n">
        <x:f>H175*I175</x:f>
        <x:v>79520</x:v>
      </x:c>
      <x:c r="L175" s="195" t="n">
        <x:f>K175*(1-J175)</x:f>
        <x:v>72363.2</x:v>
      </x:c>
      <x:c r="M175" s="195" t="n">
        <x:f>L175*(0.74-IF(E175="Healthy",0.04,IF(E175="Beverages",0.06,IF(E175="Desserts",0.05,IF(E175="North Indian",0.01,0)))))</x:f>
        <x:v>53548.768</x:v>
      </x:c>
      <x:c r="N175" s="195" t="n">
        <x:f>L175-M175</x:f>
        <x:v>18814.432</x:v>
      </x:c>
      <x:c r="O175" s="195" t="n">
        <x:f>L175*0.13</x:f>
        <x:v>9407.216</x:v>
      </x:c>
      <x:c r="P175" s="195" t="n">
        <x:f>N175-O175</x:f>
        <x:v>9407.216</x:v>
      </x:c>
      <x:c r="Q175" s="195" t="n">
        <x:v>72637.34520452924</x:v>
      </x:c>
    </x:row>
    <x:row r="176">
      <x:c r="A176" s="192" t="str">
        <x:v>ZOM-0172</x:v>
      </x:c>
      <x:c r="B176" s="193" t="n">
        <x:v>45829</x:v>
      </x:c>
      <x:c r="C176" s="236" t="str">
        <x:v>North</x:v>
      </x:c>
      <x:c r="D176" s="192" t="str">
        <x:v>Delhi</x:v>
      </x:c>
      <x:c r="E176" s="192" t="str">
        <x:v>South Indian</x:v>
      </x:c>
      <x:c r="F176" s="192" t="str">
        <x:v>Repeat User</x:v>
      </x:c>
      <x:c r="G176" s="192" t="str">
        <x:v>Repeat User Customer 55</x:v>
      </x:c>
      <x:c r="H176" s="194" t="n">
        <x:v>126</x:v>
      </x:c>
      <x:c r="I176" s="195" t="n">
        <x:v>402</x:v>
      </x:c>
      <x:c r="J176" s="196" t="n">
        <x:v>0.060000000000000005</x:v>
      </x:c>
      <x:c r="K176" s="195" t="n">
        <x:f>H176*I176</x:f>
        <x:v>50652</x:v>
      </x:c>
      <x:c r="L176" s="195" t="n">
        <x:f>K176*(1-J176)</x:f>
        <x:v>47612.88</x:v>
      </x:c>
      <x:c r="M176" s="195" t="n">
        <x:f>L176*(0.74-IF(E176="Healthy",0.04,IF(E176="Beverages",0.06,IF(E176="Desserts",0.05,IF(E176="North Indian",0.01,0)))))</x:f>
        <x:v>35233.5312</x:v>
      </x:c>
      <x:c r="N176" s="195" t="n">
        <x:f>L176-M176</x:f>
        <x:v>12379.3488</x:v>
      </x:c>
      <x:c r="O176" s="195" t="n">
        <x:f>L176*0.13</x:f>
        <x:v>6189.6744</x:v>
      </x:c>
      <x:c r="P176" s="195" t="n">
        <x:f>N176-O176</x:f>
        <x:v>6189.6744</x:v>
      </x:c>
      <x:c r="Q176" s="195" t="n">
        <x:v>50307.41932302189</x:v>
      </x:c>
    </x:row>
    <x:row r="177">
      <x:c r="A177" s="192" t="str">
        <x:v>ZOM-0173</x:v>
      </x:c>
      <x:c r="B177" s="193" t="n">
        <x:v>45830</x:v>
      </x:c>
      <x:c r="C177" s="236" t="str">
        <x:v>Central</x:v>
      </x:c>
      <x:c r="D177" s="192" t="str">
        <x:v>Bhopal</x:v>
      </x:c>
      <x:c r="E177" s="192" t="str">
        <x:v>Desserts</x:v>
      </x:c>
      <x:c r="F177" s="192" t="str">
        <x:v>Gold User</x:v>
      </x:c>
      <x:c r="G177" s="192" t="str">
        <x:v>Gold User Customer 59</x:v>
      </x:c>
      <x:c r="H177" s="194" t="n">
        <x:v>140</x:v>
      </x:c>
      <x:c r="I177" s="195" t="n">
        <x:v>269</x:v>
      </x:c>
      <x:c r="J177" s="196" t="n">
        <x:v>0.04</x:v>
      </x:c>
      <x:c r="K177" s="195" t="n">
        <x:f>H177*I177</x:f>
        <x:v>37660</x:v>
      </x:c>
      <x:c r="L177" s="195" t="n">
        <x:f>K177*(1-J177)</x:f>
        <x:v>36153.6</x:v>
      </x:c>
      <x:c r="M177" s="195" t="n">
        <x:f>L177*(0.74-IF(E177="Healthy",0.04,IF(E177="Beverages",0.06,IF(E177="Desserts",0.05,IF(E177="North Indian",0.01,0)))))</x:f>
        <x:v>24945.983999999997</x:v>
      </x:c>
      <x:c r="N177" s="195" t="n">
        <x:f>L177-M177</x:f>
        <x:v>11207.616000000002</x:v>
      </x:c>
      <x:c r="O177" s="195" t="n">
        <x:f>L177*0.13</x:f>
        <x:v>4699.968</x:v>
      </x:c>
      <x:c r="P177" s="195" t="n">
        <x:f>N177-O177</x:f>
        <x:v>6507.648000000002</x:v>
      </x:c>
      <x:c r="Q177" s="195" t="n">
        <x:v>36904.940169500194</x:v>
      </x:c>
    </x:row>
    <x:row r="178">
      <x:c r="A178" s="192" t="str">
        <x:v>ZOM-0174</x:v>
      </x:c>
      <x:c r="B178" s="193" t="n">
        <x:v>45831</x:v>
      </x:c>
      <x:c r="C178" s="236" t="str">
        <x:v>West</x:v>
      </x:c>
      <x:c r="D178" s="192" t="str">
        <x:v>Nagpur</x:v>
      </x:c>
      <x:c r="E178" s="192" t="str">
        <x:v>Pizza</x:v>
      </x:c>
      <x:c r="F178" s="192" t="str">
        <x:v>Budget</x:v>
      </x:c>
      <x:c r="G178" s="192" t="str">
        <x:v>Budget Customer 20</x:v>
      </x:c>
      <x:c r="H178" s="194" t="n">
        <x:v>95</x:v>
      </x:c>
      <x:c r="I178" s="195" t="n">
        <x:v>671</x:v>
      </x:c>
      <x:c r="J178" s="196" t="n">
        <x:v>0.1</x:v>
      </x:c>
      <x:c r="K178" s="195" t="n">
        <x:f>H178*I178</x:f>
        <x:v>63745</x:v>
      </x:c>
      <x:c r="L178" s="195" t="n">
        <x:f>K178*(1-J178)</x:f>
        <x:v>57370.5</x:v>
      </x:c>
      <x:c r="M178" s="195" t="n">
        <x:f>L178*(0.74-IF(E178="Healthy",0.04,IF(E178="Beverages",0.06,IF(E178="Desserts",0.05,IF(E178="North Indian",0.01,0)))))</x:f>
        <x:v>42454.17</x:v>
      </x:c>
      <x:c r="N178" s="195" t="n">
        <x:f>L178-M178</x:f>
        <x:v>14916.330000000002</x:v>
      </x:c>
      <x:c r="O178" s="195" t="n">
        <x:f>L178*0.13</x:f>
        <x:v>7458.165</x:v>
      </x:c>
      <x:c r="P178" s="195" t="n">
        <x:f>N178-O178</x:f>
        <x:v>7458.165000000002</x:v>
      </x:c>
      <x:c r="Q178" s="195" t="n">
        <x:v>59425.505535248136</x:v>
      </x:c>
    </x:row>
    <x:row r="179">
      <x:c r="A179" s="192" t="str">
        <x:v>ZOM-0175</x:v>
      </x:c>
      <x:c r="B179" s="193" t="n">
        <x:v>45832</x:v>
      </x:c>
      <x:c r="C179" s="236" t="str">
        <x:v>Central</x:v>
      </x:c>
      <x:c r="D179" s="192" t="str">
        <x:v>Indore</x:v>
      </x:c>
      <x:c r="E179" s="192" t="str">
        <x:v>Burgers</x:v>
      </x:c>
      <x:c r="F179" s="192" t="str">
        <x:v>Gold User</x:v>
      </x:c>
      <x:c r="G179" s="192" t="str">
        <x:v>Gold User Customer 58</x:v>
      </x:c>
      <x:c r="H179" s="194" t="n">
        <x:v>130</x:v>
      </x:c>
      <x:c r="I179" s="195" t="n">
        <x:v>398</x:v>
      </x:c>
      <x:c r="J179" s="196" t="n">
        <x:v>0.03</x:v>
      </x:c>
      <x:c r="K179" s="195" t="n">
        <x:f>H179*I179</x:f>
        <x:v>51740</x:v>
      </x:c>
      <x:c r="L179" s="195" t="n">
        <x:f>K179*(1-J179)</x:f>
        <x:v>50187.799999999996</x:v>
      </x:c>
      <x:c r="M179" s="195" t="n">
        <x:f>L179*(0.74-IF(E179="Healthy",0.04,IF(E179="Beverages",0.06,IF(E179="Desserts",0.05,IF(E179="North Indian",0.01,0)))))</x:f>
        <x:v>37138.971999999994</x:v>
      </x:c>
      <x:c r="N179" s="195" t="n">
        <x:f>L179-M179</x:f>
        <x:v>13048.828000000001</x:v>
      </x:c>
      <x:c r="O179" s="195" t="n">
        <x:f>L179*0.13</x:f>
        <x:v>6524.414</x:v>
      </x:c>
      <x:c r="P179" s="195" t="n">
        <x:f>N179-O179</x:f>
        <x:v>6524.414000000002</x:v>
      </x:c>
      <x:c r="Q179" s="195" t="n">
        <x:v>53459.18661153348</x:v>
      </x:c>
    </x:row>
    <x:row r="180">
      <x:c r="A180" s="192" t="str">
        <x:v>ZOM-0176</x:v>
      </x:c>
      <x:c r="B180" s="193" t="n">
        <x:v>45833</x:v>
      </x:c>
      <x:c r="C180" s="236" t="str">
        <x:v>Metro</x:v>
      </x:c>
      <x:c r="D180" s="192" t="str">
        <x:v>Bengaluru</x:v>
      </x:c>
      <x:c r="E180" s="192" t="str">
        <x:v>Snacks</x:v>
      </x:c>
      <x:c r="F180" s="192" t="str">
        <x:v>Budget</x:v>
      </x:c>
      <x:c r="G180" s="192" t="str">
        <x:v>Budget Customer 31</x:v>
      </x:c>
      <x:c r="H180" s="194" t="n">
        <x:v>102</x:v>
      </x:c>
      <x:c r="I180" s="195" t="n">
        <x:v>201</x:v>
      </x:c>
      <x:c r="J180" s="196" t="n">
        <x:v>0.08</x:v>
      </x:c>
      <x:c r="K180" s="195" t="n">
        <x:f>H180*I180</x:f>
        <x:v>20502</x:v>
      </x:c>
      <x:c r="L180" s="195" t="n">
        <x:f>K180*(1-J180)</x:f>
        <x:v>18861.84</x:v>
      </x:c>
      <x:c r="M180" s="195" t="n">
        <x:f>L180*(0.74-IF(E180="Healthy",0.04,IF(E180="Beverages",0.06,IF(E180="Desserts",0.05,IF(E180="North Indian",0.01,0)))))</x:f>
        <x:v>13957.7616</x:v>
      </x:c>
      <x:c r="N180" s="195" t="n">
        <x:f>L180-M180</x:f>
        <x:v>4904.0784</x:v>
      </x:c>
      <x:c r="O180" s="195" t="n">
        <x:f>L180*0.13</x:f>
        <x:v>2452.0392</x:v>
      </x:c>
      <x:c r="P180" s="195" t="n">
        <x:f>N180-O180</x:f>
        <x:v>2452.0392</x:v>
      </x:c>
      <x:c r="Q180" s="195" t="n">
        <x:v>19442.28062812137</x:v>
      </x:c>
    </x:row>
    <x:row r="181">
      <x:c r="A181" s="192" t="str">
        <x:v>ZOM-0177</x:v>
      </x:c>
      <x:c r="B181" s="193" t="n">
        <x:v>45834</x:v>
      </x:c>
      <x:c r="C181" s="236" t="str">
        <x:v>South</x:v>
      </x:c>
      <x:c r="D181" s="192" t="str">
        <x:v>Coimbatore</x:v>
      </x:c>
      <x:c r="E181" s="192" t="str">
        <x:v>Biryani</x:v>
      </x:c>
      <x:c r="F181" s="192" t="str">
        <x:v>Corporate</x:v>
      </x:c>
      <x:c r="G181" s="192" t="str">
        <x:v>Corporate Customer 41</x:v>
      </x:c>
      <x:c r="H181" s="194" t="n">
        <x:v>131</x:v>
      </x:c>
      <x:c r="I181" s="195" t="n">
        <x:v>404</x:v>
      </x:c>
      <x:c r="J181" s="196" t="n">
        <x:v>0.02</x:v>
      </x:c>
      <x:c r="K181" s="195" t="n">
        <x:f>H181*I181</x:f>
        <x:v>52924</x:v>
      </x:c>
      <x:c r="L181" s="195" t="n">
        <x:f>K181*(1-J181)</x:f>
        <x:v>51865.52</x:v>
      </x:c>
      <x:c r="M181" s="195" t="n">
        <x:f>L181*(0.74-IF(E181="Healthy",0.04,IF(E181="Beverages",0.06,IF(E181="Desserts",0.05,IF(E181="North Indian",0.01,0)))))</x:f>
        <x:v>38380.4848</x:v>
      </x:c>
      <x:c r="N181" s="195" t="n">
        <x:f>L181-M181</x:f>
        <x:v>13485.035199999998</x:v>
      </x:c>
      <x:c r="O181" s="195" t="n">
        <x:f>L181*0.13</x:f>
        <x:v>6742.5176</x:v>
      </x:c>
      <x:c r="P181" s="195" t="n">
        <x:f>N181-O181</x:f>
        <x:v>6742.517599999998</x:v>
      </x:c>
      <x:c r="Q181" s="195" t="n">
        <x:v>55170.64916078795</x:v>
      </x:c>
    </x:row>
    <x:row r="182">
      <x:c r="A182" s="192" t="str">
        <x:v>ZOM-0178</x:v>
      </x:c>
      <x:c r="B182" s="193" t="n">
        <x:v>45835</x:v>
      </x:c>
      <x:c r="C182" s="236" t="str">
        <x:v>South</x:v>
      </x:c>
      <x:c r="D182" s="192" t="str">
        <x:v>Bengaluru</x:v>
      </x:c>
      <x:c r="E182" s="192" t="str">
        <x:v>South Indian</x:v>
      </x:c>
      <x:c r="F182" s="192" t="str">
        <x:v>Budget</x:v>
      </x:c>
      <x:c r="G182" s="192" t="str">
        <x:v>Budget Customer 27</x:v>
      </x:c>
      <x:c r="H182" s="194" t="n">
        <x:v>73</x:v>
      </x:c>
      <x:c r="I182" s="195" t="n">
        <x:v>401</x:v>
      </x:c>
      <x:c r="J182" s="196" t="n">
        <x:v>0.1</x:v>
      </x:c>
      <x:c r="K182" s="195" t="n">
        <x:f>H182*I182</x:f>
        <x:v>29273</x:v>
      </x:c>
      <x:c r="L182" s="195" t="n">
        <x:f>K182*(1-J182)</x:f>
        <x:v>26345.7</x:v>
      </x:c>
      <x:c r="M182" s="195" t="n">
        <x:f>L182*(0.74-IF(E182="Healthy",0.04,IF(E182="Beverages",0.06,IF(E182="Desserts",0.05,IF(E182="North Indian",0.01,0)))))</x:f>
        <x:v>19495.818</x:v>
      </x:c>
      <x:c r="N182" s="195" t="n">
        <x:f>L182-M182</x:f>
        <x:v>6849.882000000001</x:v>
      </x:c>
      <x:c r="O182" s="195" t="n">
        <x:f>L182*0.13</x:f>
        <x:v>3424.9410000000003</x:v>
      </x:c>
      <x:c r="P182" s="195" t="n">
        <x:f>N182-O182</x:f>
        <x:v>3424.941000000001</x:v>
      </x:c>
      <x:c r="Q182" s="195" t="n">
        <x:v>29283.03377326251</x:v>
      </x:c>
    </x:row>
    <x:row r="183">
      <x:c r="A183" s="192" t="str">
        <x:v>ZOM-0179</x:v>
      </x:c>
      <x:c r="B183" s="193" t="n">
        <x:v>45836</x:v>
      </x:c>
      <x:c r="C183" s="236" t="str">
        <x:v>East</x:v>
      </x:c>
      <x:c r="D183" s="192" t="str">
        <x:v>Ranchi</x:v>
      </x:c>
      <x:c r="E183" s="192" t="str">
        <x:v>South Indian</x:v>
      </x:c>
      <x:c r="F183" s="192" t="str">
        <x:v>Repeat User</x:v>
      </x:c>
      <x:c r="G183" s="192" t="str">
        <x:v>Repeat User Customer 35</x:v>
      </x:c>
      <x:c r="H183" s="194" t="n">
        <x:v>99</x:v>
      </x:c>
      <x:c r="I183" s="195" t="n">
        <x:v>345</x:v>
      </x:c>
      <x:c r="J183" s="196" t="n">
        <x:v>0.030000000000000002</x:v>
      </x:c>
      <x:c r="K183" s="195" t="n">
        <x:f>H183*I183</x:f>
        <x:v>34155</x:v>
      </x:c>
      <x:c r="L183" s="195" t="n">
        <x:f>K183*(1-J183)</x:f>
        <x:v>33130.35</x:v>
      </x:c>
      <x:c r="M183" s="195" t="n">
        <x:f>L183*(0.74-IF(E183="Healthy",0.04,IF(E183="Beverages",0.06,IF(E183="Desserts",0.05,IF(E183="North Indian",0.01,0)))))</x:f>
        <x:v>24516.459</x:v>
      </x:c>
      <x:c r="N183" s="195" t="n">
        <x:f>L183-M183</x:f>
        <x:v>8613.891</x:v>
      </x:c>
      <x:c r="O183" s="195" t="n">
        <x:f>L183*0.13</x:f>
        <x:v>4306.9455</x:v>
      </x:c>
      <x:c r="P183" s="195" t="n">
        <x:f>N183-O183</x:f>
        <x:v>4306.9455</x:v>
      </x:c>
      <x:c r="Q183" s="195" t="n">
        <x:v>35412.898672484844</x:v>
      </x:c>
    </x:row>
    <x:row r="184">
      <x:c r="A184" s="192" t="str">
        <x:v>ZOM-0180</x:v>
      </x:c>
      <x:c r="B184" s="193" t="n">
        <x:v>45837</x:v>
      </x:c>
      <x:c r="C184" s="236" t="str">
        <x:v>Central</x:v>
      </x:c>
      <x:c r="D184" s="192" t="str">
        <x:v>Bhopal</x:v>
      </x:c>
      <x:c r="E184" s="192" t="str">
        <x:v>Beverages</x:v>
      </x:c>
      <x:c r="F184" s="192" t="str">
        <x:v>New User</x:v>
      </x:c>
      <x:c r="G184" s="192" t="str">
        <x:v>New User Customer 60</x:v>
      </x:c>
      <x:c r="H184" s="194" t="n">
        <x:v>77</x:v>
      </x:c>
      <x:c r="I184" s="195" t="n">
        <x:v>269</x:v>
      </x:c>
      <x:c r="J184" s="196" t="n">
        <x:v>0.06</x:v>
      </x:c>
      <x:c r="K184" s="195" t="n">
        <x:f>H184*I184</x:f>
        <x:v>20713</x:v>
      </x:c>
      <x:c r="L184" s="195" t="n">
        <x:f>K184*(1-J184)</x:f>
        <x:v>19470.219999999998</x:v>
      </x:c>
      <x:c r="M184" s="195" t="n">
        <x:f>L184*(0.74-IF(E184="Healthy",0.04,IF(E184="Beverages",0.06,IF(E184="Desserts",0.05,IF(E184="North Indian",0.01,0)))))</x:f>
        <x:v>13239.749599999997</x:v>
      </x:c>
      <x:c r="N184" s="195" t="n">
        <x:f>L184-M184</x:f>
        <x:v>6230.4704</x:v>
      </x:c>
      <x:c r="O184" s="195" t="n">
        <x:f>L184*0.13</x:f>
        <x:v>2531.1285999999996</x:v>
      </x:c>
      <x:c r="P184" s="195" t="n">
        <x:f>N184-O184</x:f>
        <x:v>3699.3418000000006</x:v>
      </x:c>
      <x:c r="Q184" s="195" t="n">
        <x:v>20627.648015837443</x:v>
      </x:c>
    </x:row>
    <x:row r="185">
      <x:c r="A185" s="192" t="str">
        <x:v>ZOM-0181</x:v>
      </x:c>
      <x:c r="B185" s="193" t="n">
        <x:v>45838</x:v>
      </x:c>
      <x:c r="C185" s="236" t="str">
        <x:v>Central</x:v>
      </x:c>
      <x:c r="D185" s="192" t="str">
        <x:v>Raipur</x:v>
      </x:c>
      <x:c r="E185" s="192" t="str">
        <x:v>Beverages</x:v>
      </x:c>
      <x:c r="F185" s="192" t="str">
        <x:v>New User</x:v>
      </x:c>
      <x:c r="G185" s="192" t="str">
        <x:v>New User Customer 32</x:v>
      </x:c>
      <x:c r="H185" s="194" t="n">
        <x:v>119</x:v>
      </x:c>
      <x:c r="I185" s="195" t="n">
        <x:v>237</x:v>
      </x:c>
      <x:c r="J185" s="196" t="n">
        <x:v>0.08</x:v>
      </x:c>
      <x:c r="K185" s="195" t="n">
        <x:f>H185*I185</x:f>
        <x:v>28203</x:v>
      </x:c>
      <x:c r="L185" s="195" t="n">
        <x:f>K185*(1-J185)</x:f>
        <x:v>25946.760000000002</x:v>
      </x:c>
      <x:c r="M185" s="195" t="n">
        <x:f>L185*(0.74-IF(E185="Healthy",0.04,IF(E185="Beverages",0.06,IF(E185="Desserts",0.05,IF(E185="North Indian",0.01,0)))))</x:f>
        <x:v>17643.7968</x:v>
      </x:c>
      <x:c r="N185" s="195" t="n">
        <x:f>L185-M185</x:f>
        <x:v>8302.963200000002</x:v>
      </x:c>
      <x:c r="O185" s="195" t="n">
        <x:f>L185*0.13</x:f>
        <x:v>3373.0788000000002</x:v>
      </x:c>
      <x:c r="P185" s="195" t="n">
        <x:f>N185-O185</x:f>
        <x:v>4929.884400000002</x:v>
      </x:c>
      <x:c r="Q185" s="195" t="n">
        <x:v>27638.38647056842</x:v>
      </x:c>
    </x:row>
    <x:row r="186">
      <x:c r="A186" s="192" t="str">
        <x:v>ZOM-0182</x:v>
      </x:c>
      <x:c r="B186" s="193" t="n">
        <x:v>45839</x:v>
      </x:c>
      <x:c r="C186" s="236" t="str">
        <x:v>Metro</x:v>
      </x:c>
      <x:c r="D186" s="192" t="str">
        <x:v>Mumbai</x:v>
      </x:c>
      <x:c r="E186" s="192" t="str">
        <x:v>Healthy</x:v>
      </x:c>
      <x:c r="F186" s="192" t="str">
        <x:v>Gold User</x:v>
      </x:c>
      <x:c r="G186" s="192" t="str">
        <x:v>Gold User Customer 12</x:v>
      </x:c>
      <x:c r="H186" s="194" t="n">
        <x:v>126</x:v>
      </x:c>
      <x:c r="I186" s="195" t="n">
        <x:v>455</x:v>
      </x:c>
      <x:c r="J186" s="196" t="n">
        <x:v>0.03</x:v>
      </x:c>
      <x:c r="K186" s="195" t="n">
        <x:f>H186*I186</x:f>
        <x:v>57330</x:v>
      </x:c>
      <x:c r="L186" s="195" t="n">
        <x:f>K186*(1-J186)</x:f>
        <x:v>55610.1</x:v>
      </x:c>
      <x:c r="M186" s="195" t="n">
        <x:f>L186*(0.74-IF(E186="Healthy",0.04,IF(E186="Beverages",0.06,IF(E186="Desserts",0.05,IF(E186="North Indian",0.01,0)))))</x:f>
        <x:v>38927.07</x:v>
      </x:c>
      <x:c r="N186" s="195" t="n">
        <x:f>L186-M186</x:f>
        <x:v>16683.03</x:v>
      </x:c>
      <x:c r="O186" s="195" t="n">
        <x:f>L186*0.13</x:f>
        <x:v>7229.313</x:v>
      </x:c>
      <x:c r="P186" s="195" t="n">
        <x:f>N186-O186</x:f>
        <x:v>9453.716999999999</x:v>
      </x:c>
      <x:c r="Q186" s="195" t="n">
        <x:v>57326.88308592619</x:v>
      </x:c>
    </x:row>
    <x:row r="187">
      <x:c r="A187" s="192" t="str">
        <x:v>ZOM-0183</x:v>
      </x:c>
      <x:c r="B187" s="193" t="n">
        <x:v>45840</x:v>
      </x:c>
      <x:c r="C187" s="236" t="str">
        <x:v>North</x:v>
      </x:c>
      <x:c r="D187" s="192" t="str">
        <x:v>Gurugram</x:v>
      </x:c>
      <x:c r="E187" s="192" t="str">
        <x:v>Healthy</x:v>
      </x:c>
      <x:c r="F187" s="192" t="str">
        <x:v>Corporate</x:v>
      </x:c>
      <x:c r="G187" s="192" t="str">
        <x:v>Corporate Customer 43</x:v>
      </x:c>
      <x:c r="H187" s="194" t="n">
        <x:v>115</x:v>
      </x:c>
      <x:c r="I187" s="195" t="n">
        <x:v>349</x:v>
      </x:c>
      <x:c r="J187" s="196" t="n">
        <x:v>0.03</x:v>
      </x:c>
      <x:c r="K187" s="195" t="n">
        <x:f>H187*I187</x:f>
        <x:v>40135</x:v>
      </x:c>
      <x:c r="L187" s="195" t="n">
        <x:f>K187*(1-J187)</x:f>
        <x:v>38930.95</x:v>
      </x:c>
      <x:c r="M187" s="195" t="n">
        <x:f>L187*(0.74-IF(E187="Healthy",0.04,IF(E187="Beverages",0.06,IF(E187="Desserts",0.05,IF(E187="North Indian",0.01,0)))))</x:f>
        <x:v>27251.664999999997</x:v>
      </x:c>
      <x:c r="N187" s="195" t="n">
        <x:f>L187-M187</x:f>
        <x:v>11679.285</x:v>
      </x:c>
      <x:c r="O187" s="195" t="n">
        <x:f>L187*0.13</x:f>
        <x:v>5061.0235</x:v>
      </x:c>
      <x:c r="P187" s="195" t="n">
        <x:f>N187-O187</x:f>
        <x:v>6618.2615</x:v>
      </x:c>
      <x:c r="Q187" s="195" t="n">
        <x:v>39336.164053729335</x:v>
      </x:c>
    </x:row>
    <x:row r="188">
      <x:c r="A188" s="192" t="str">
        <x:v>ZOM-0184</x:v>
      </x:c>
      <x:c r="B188" s="193" t="n">
        <x:v>45841</x:v>
      </x:c>
      <x:c r="C188" s="236" t="str">
        <x:v>North</x:v>
      </x:c>
      <x:c r="D188" s="192" t="str">
        <x:v>Noida</x:v>
      </x:c>
      <x:c r="E188" s="192" t="str">
        <x:v>South Indian</x:v>
      </x:c>
      <x:c r="F188" s="192" t="str">
        <x:v>Student</x:v>
      </x:c>
      <x:c r="G188" s="192" t="str">
        <x:v>Student Customer 38</x:v>
      </x:c>
      <x:c r="H188" s="194" t="n">
        <x:v>57</x:v>
      </x:c>
      <x:c r="I188" s="195" t="n">
        <x:v>336</x:v>
      </x:c>
      <x:c r="J188" s="196" t="n">
        <x:v>0.12</x:v>
      </x:c>
      <x:c r="K188" s="195" t="n">
        <x:f>H188*I188</x:f>
        <x:v>19152</x:v>
      </x:c>
      <x:c r="L188" s="195" t="n">
        <x:f>K188*(1-J188)</x:f>
        <x:v>16853.76</x:v>
      </x:c>
      <x:c r="M188" s="195" t="n">
        <x:f>L188*(0.74-IF(E188="Healthy",0.04,IF(E188="Beverages",0.06,IF(E188="Desserts",0.05,IF(E188="North Indian",0.01,0)))))</x:f>
        <x:v>12471.782399999998</x:v>
      </x:c>
      <x:c r="N188" s="195" t="n">
        <x:f>L188-M188</x:f>
        <x:v>4381.9776</x:v>
      </x:c>
      <x:c r="O188" s="195" t="n">
        <x:f>L188*0.13</x:f>
        <x:v>2190.9888</x:v>
      </x:c>
      <x:c r="P188" s="195" t="n">
        <x:f>N188-O188</x:f>
        <x:v>2190.9888</x:v>
      </x:c>
      <x:c r="Q188" s="195" t="n">
        <x:v>17520.411090235197</x:v>
      </x:c>
    </x:row>
    <x:row r="189">
      <x:c r="A189" s="192" t="str">
        <x:v>ZOM-0185</x:v>
      </x:c>
      <x:c r="B189" s="193" t="n">
        <x:v>45842</x:v>
      </x:c>
      <x:c r="C189" s="236" t="str">
        <x:v>East</x:v>
      </x:c>
      <x:c r="D189" s="192" t="str">
        <x:v>Kolkata</x:v>
      </x:c>
      <x:c r="E189" s="192" t="str">
        <x:v>Biryani</x:v>
      </x:c>
      <x:c r="F189" s="192" t="str">
        <x:v>Repeat User</x:v>
      </x:c>
      <x:c r="G189" s="192" t="str">
        <x:v>Repeat User Customer 60</x:v>
      </x:c>
      <x:c r="H189" s="194" t="n">
        <x:v>96</x:v>
      </x:c>
      <x:c r="I189" s="195" t="n">
        <x:v>389</x:v>
      </x:c>
      <x:c r="J189" s="196" t="n">
        <x:v>0.030000000000000002</x:v>
      </x:c>
      <x:c r="K189" s="195" t="n">
        <x:f>H189*I189</x:f>
        <x:v>37344</x:v>
      </x:c>
      <x:c r="L189" s="195" t="n">
        <x:f>K189*(1-J189)</x:f>
        <x:v>36223.68</x:v>
      </x:c>
      <x:c r="M189" s="195" t="n">
        <x:f>L189*(0.74-IF(E189="Healthy",0.04,IF(E189="Beverages",0.06,IF(E189="Desserts",0.05,IF(E189="North Indian",0.01,0)))))</x:f>
        <x:v>26805.5232</x:v>
      </x:c>
      <x:c r="N189" s="195" t="n">
        <x:f>L189-M189</x:f>
        <x:v>9418.1568</x:v>
      </x:c>
      <x:c r="O189" s="195" t="n">
        <x:f>L189*0.13</x:f>
        <x:v>4709.0784</x:v>
      </x:c>
      <x:c r="P189" s="195" t="n">
        <x:f>N189-O189</x:f>
        <x:v>4709.0784</x:v>
      </x:c>
      <x:c r="Q189" s="195" t="n">
        <x:v>39205.933351605265</x:v>
      </x:c>
    </x:row>
    <x:row r="190">
      <x:c r="A190" s="192" t="str">
        <x:v>ZOM-0186</x:v>
      </x:c>
      <x:c r="B190" s="193" t="n">
        <x:v>45843</x:v>
      </x:c>
      <x:c r="C190" s="236" t="str">
        <x:v>Metro</x:v>
      </x:c>
      <x:c r="D190" s="192" t="str">
        <x:v>Bengaluru</x:v>
      </x:c>
      <x:c r="E190" s="192" t="str">
        <x:v>Burgers</x:v>
      </x:c>
      <x:c r="F190" s="192" t="str">
        <x:v>Corporate</x:v>
      </x:c>
      <x:c r="G190" s="192" t="str">
        <x:v>Corporate Customer 48</x:v>
      </x:c>
      <x:c r="H190" s="194" t="n">
        <x:v>149</x:v>
      </x:c>
      <x:c r="I190" s="195" t="n">
        <x:v>401</x:v>
      </x:c>
      <x:c r="J190" s="196" t="n">
        <x:v>0.02</x:v>
      </x:c>
      <x:c r="K190" s="195" t="n">
        <x:f>H190*I190</x:f>
        <x:v>59749</x:v>
      </x:c>
      <x:c r="L190" s="195" t="n">
        <x:f>K190*(1-J190)</x:f>
        <x:v>58554.02</x:v>
      </x:c>
      <x:c r="M190" s="195" t="n">
        <x:f>L190*(0.74-IF(E190="Healthy",0.04,IF(E190="Beverages",0.06,IF(E190="Desserts",0.05,IF(E190="North Indian",0.01,0)))))</x:f>
        <x:v>43329.974799999996</x:v>
      </x:c>
      <x:c r="N190" s="195" t="n">
        <x:f>L190-M190</x:f>
        <x:v>15224.0452</x:v>
      </x:c>
      <x:c r="O190" s="195" t="n">
        <x:f>L190*0.13</x:f>
        <x:v>7612.0226</x:v>
      </x:c>
      <x:c r="P190" s="195" t="n">
        <x:f>N190-O190</x:f>
        <x:v>7612.0226</x:v>
      </x:c>
      <x:c r="Q190" s="195" t="n">
        <x:v>59630.375674222574</x:v>
      </x:c>
    </x:row>
    <x:row r="191">
      <x:c r="A191" s="192" t="str">
        <x:v>ZOM-0187</x:v>
      </x:c>
      <x:c r="B191" s="193" t="n">
        <x:v>45844</x:v>
      </x:c>
      <x:c r="C191" s="236" t="str">
        <x:v>Metro</x:v>
      </x:c>
      <x:c r="D191" s="192" t="str">
        <x:v>Bengaluru</x:v>
      </x:c>
      <x:c r="E191" s="192" t="str">
        <x:v>South Indian</x:v>
      </x:c>
      <x:c r="F191" s="192" t="str">
        <x:v>Gold User</x:v>
      </x:c>
      <x:c r="G191" s="192" t="str">
        <x:v>Gold User Customer 51</x:v>
      </x:c>
      <x:c r="H191" s="194" t="n">
        <x:v>175</x:v>
      </x:c>
      <x:c r="I191" s="195" t="n">
        <x:v>412</x:v>
      </x:c>
      <x:c r="J191" s="196" t="n">
        <x:v>0.03</x:v>
      </x:c>
      <x:c r="K191" s="195" t="n">
        <x:f>H191*I191</x:f>
        <x:v>72100</x:v>
      </x:c>
      <x:c r="L191" s="195" t="n">
        <x:f>K191*(1-J191)</x:f>
        <x:v>69937</x:v>
      </x:c>
      <x:c r="M191" s="195" t="n">
        <x:f>L191*(0.74-IF(E191="Healthy",0.04,IF(E191="Beverages",0.06,IF(E191="Desserts",0.05,IF(E191="North Indian",0.01,0)))))</x:f>
        <x:v>51753.38</x:v>
      </x:c>
      <x:c r="N191" s="195" t="n">
        <x:f>L191-M191</x:f>
        <x:v>18183.620000000003</x:v>
      </x:c>
      <x:c r="O191" s="195" t="n">
        <x:f>L191*0.13</x:f>
        <x:v>9091.81</x:v>
      </x:c>
      <x:c r="P191" s="195" t="n">
        <x:f>N191-O191</x:f>
        <x:v>9091.810000000003</x:v>
      </x:c>
      <x:c r="Q191" s="195" t="n">
        <x:v>74937.33715310285</x:v>
      </x:c>
    </x:row>
    <x:row r="192">
      <x:c r="A192" s="192" t="str">
        <x:v>ZOM-0188</x:v>
      </x:c>
      <x:c r="B192" s="193" t="n">
        <x:v>45845</x:v>
      </x:c>
      <x:c r="C192" s="236" t="str">
        <x:v>North</x:v>
      </x:c>
      <x:c r="D192" s="192" t="str">
        <x:v>Jaipur</x:v>
      </x:c>
      <x:c r="E192" s="192" t="str">
        <x:v>Chinese</x:v>
      </x:c>
      <x:c r="F192" s="192" t="str">
        <x:v>Repeat User</x:v>
      </x:c>
      <x:c r="G192" s="192" t="str">
        <x:v>Repeat User Customer 34</x:v>
      </x:c>
      <x:c r="H192" s="194" t="n">
        <x:v>151</x:v>
      </x:c>
      <x:c r="I192" s="195" t="n">
        <x:v>382</x:v>
      </x:c>
      <x:c r="J192" s="196" t="n">
        <x:v>0.05</x:v>
      </x:c>
      <x:c r="K192" s="195" t="n">
        <x:f>H192*I192</x:f>
        <x:v>57682</x:v>
      </x:c>
      <x:c r="L192" s="195" t="n">
        <x:f>K192*(1-J192)</x:f>
        <x:v>54797.899999999994</x:v>
      </x:c>
      <x:c r="M192" s="195" t="n">
        <x:f>L192*(0.74-IF(E192="Healthy",0.04,IF(E192="Beverages",0.06,IF(E192="Desserts",0.05,IF(E192="North Indian",0.01,0)))))</x:f>
        <x:v>40550.445999999996</x:v>
      </x:c>
      <x:c r="N192" s="195" t="n">
        <x:f>L192-M192</x:f>
        <x:v>14247.453999999998</x:v>
      </x:c>
      <x:c r="O192" s="195" t="n">
        <x:f>L192*0.13</x:f>
        <x:v>7123.727</x:v>
      </x:c>
      <x:c r="P192" s="195" t="n">
        <x:f>N192-O192</x:f>
        <x:v>7123.726999999998</x:v>
      </x:c>
      <x:c r="Q192" s="195" t="n">
        <x:v>56955.51890014804</x:v>
      </x:c>
    </x:row>
    <x:row r="193">
      <x:c r="A193" s="192" t="str">
        <x:v>ZOM-0189</x:v>
      </x:c>
      <x:c r="B193" s="193" t="n">
        <x:v>45846</x:v>
      </x:c>
      <x:c r="C193" s="236" t="str">
        <x:v>West</x:v>
      </x:c>
      <x:c r="D193" s="192" t="str">
        <x:v>Pune</x:v>
      </x:c>
      <x:c r="E193" s="192" t="str">
        <x:v>Desserts</x:v>
      </x:c>
      <x:c r="F193" s="192" t="str">
        <x:v>Gold User</x:v>
      </x:c>
      <x:c r="G193" s="192" t="str">
        <x:v>Gold User Customer 04</x:v>
      </x:c>
      <x:c r="H193" s="194" t="n">
        <x:v>175</x:v>
      </x:c>
      <x:c r="I193" s="195" t="n">
        <x:v>283</x:v>
      </x:c>
      <x:c r="J193" s="196" t="n">
        <x:v>0.009999999999999998</x:v>
      </x:c>
      <x:c r="K193" s="195" t="n">
        <x:f>H193*I193</x:f>
        <x:v>49525</x:v>
      </x:c>
      <x:c r="L193" s="195" t="n">
        <x:f>K193*(1-J193)</x:f>
        <x:v>49029.75</x:v>
      </x:c>
      <x:c r="M193" s="195" t="n">
        <x:f>L193*(0.74-IF(E193="Healthy",0.04,IF(E193="Beverages",0.06,IF(E193="Desserts",0.05,IF(E193="North Indian",0.01,0)))))</x:f>
        <x:v>33830.5275</x:v>
      </x:c>
      <x:c r="N193" s="195" t="n">
        <x:f>L193-M193</x:f>
        <x:v>15199.222500000003</x:v>
      </x:c>
      <x:c r="O193" s="195" t="n">
        <x:f>L193*0.13</x:f>
        <x:v>6373.8675</x:v>
      </x:c>
      <x:c r="P193" s="195" t="n">
        <x:f>N193-O193</x:f>
        <x:v>8825.355000000003</x:v>
      </x:c>
      <x:c r="Q193" s="195" t="n">
        <x:v>51717.35580774413</x:v>
      </x:c>
    </x:row>
    <x:row r="194">
      <x:c r="A194" s="192" t="str">
        <x:v>ZOM-0190</x:v>
      </x:c>
      <x:c r="B194" s="193" t="n">
        <x:v>45847</x:v>
      </x:c>
      <x:c r="C194" s="236" t="str">
        <x:v>West</x:v>
      </x:c>
      <x:c r="D194" s="192" t="str">
        <x:v>Ahmedabad</x:v>
      </x:c>
      <x:c r="E194" s="192" t="str">
        <x:v>Desserts</x:v>
      </x:c>
      <x:c r="F194" s="192" t="str">
        <x:v>Repeat User</x:v>
      </x:c>
      <x:c r="G194" s="192" t="str">
        <x:v>Repeat User Customer 04</x:v>
      </x:c>
      <x:c r="H194" s="194" t="n">
        <x:v>82</x:v>
      </x:c>
      <x:c r="I194" s="195" t="n">
        <x:v>319</x:v>
      </x:c>
      <x:c r="J194" s="196" t="n">
        <x:v>0.030000000000000002</x:v>
      </x:c>
      <x:c r="K194" s="195" t="n">
        <x:f>H194*I194</x:f>
        <x:v>26158</x:v>
      </x:c>
      <x:c r="L194" s="195" t="n">
        <x:f>K194*(1-J194)</x:f>
        <x:v>25373.26</x:v>
      </x:c>
      <x:c r="M194" s="195" t="n">
        <x:f>L194*(0.74-IF(E194="Healthy",0.04,IF(E194="Beverages",0.06,IF(E194="Desserts",0.05,IF(E194="North Indian",0.01,0)))))</x:f>
        <x:v>17507.549399999996</x:v>
      </x:c>
      <x:c r="N194" s="195" t="n">
        <x:f>L194-M194</x:f>
        <x:v>7865.710600000002</x:v>
      </x:c>
      <x:c r="O194" s="195" t="n">
        <x:f>L194*0.13</x:f>
        <x:v>3298.5238</x:v>
      </x:c>
      <x:c r="P194" s="195" t="n">
        <x:f>N194-O194</x:f>
        <x:v>4567.186800000002</x:v>
      </x:c>
      <x:c r="Q194" s="195" t="n">
        <x:v>25567.39561931164</x:v>
      </x:c>
    </x:row>
    <x:row r="195">
      <x:c r="A195" s="192" t="str">
        <x:v>ZOM-0191</x:v>
      </x:c>
      <x:c r="B195" s="193" t="n">
        <x:v>45848</x:v>
      </x:c>
      <x:c r="C195" s="236" t="str">
        <x:v>Metro</x:v>
      </x:c>
      <x:c r="D195" s="192" t="str">
        <x:v>Delhi</x:v>
      </x:c>
      <x:c r="E195" s="192" t="str">
        <x:v>Snacks</x:v>
      </x:c>
      <x:c r="F195" s="192" t="str">
        <x:v>Gold User</x:v>
      </x:c>
      <x:c r="G195" s="192" t="str">
        <x:v>Gold User Customer 27</x:v>
      </x:c>
      <x:c r="H195" s="194" t="n">
        <x:v>142</x:v>
      </x:c>
      <x:c r="I195" s="195" t="n">
        <x:v>239</x:v>
      </x:c>
      <x:c r="J195" s="196" t="n">
        <x:v>0.03</x:v>
      </x:c>
      <x:c r="K195" s="195" t="n">
        <x:f>H195*I195</x:f>
        <x:v>33938</x:v>
      </x:c>
      <x:c r="L195" s="195" t="n">
        <x:f>K195*(1-J195)</x:f>
        <x:v>32919.86</x:v>
      </x:c>
      <x:c r="M195" s="195" t="n">
        <x:f>L195*(0.74-IF(E195="Healthy",0.04,IF(E195="Beverages",0.06,IF(E195="Desserts",0.05,IF(E195="North Indian",0.01,0)))))</x:f>
        <x:v>24360.6964</x:v>
      </x:c>
      <x:c r="N195" s="195" t="n">
        <x:f>L195-M195</x:f>
        <x:v>8559.1636</x:v>
      </x:c>
      <x:c r="O195" s="195" t="n">
        <x:f>L195*0.13</x:f>
        <x:v>4279.5818</x:v>
      </x:c>
      <x:c r="P195" s="195" t="n">
        <x:f>N195-O195</x:f>
        <x:v>4279.5818</x:v>
      </x:c>
      <x:c r="Q195" s="195" t="n">
        <x:v>35471.3367330133</x:v>
      </x:c>
    </x:row>
    <x:row r="196">
      <x:c r="A196" s="192" t="str">
        <x:v>ZOM-0192</x:v>
      </x:c>
      <x:c r="B196" s="193" t="n">
        <x:v>45849</x:v>
      </x:c>
      <x:c r="C196" s="236" t="str">
        <x:v>South</x:v>
      </x:c>
      <x:c r="D196" s="192" t="str">
        <x:v>Kochi</x:v>
      </x:c>
      <x:c r="E196" s="192" t="str">
        <x:v>South Indian</x:v>
      </x:c>
      <x:c r="F196" s="192" t="str">
        <x:v>Student</x:v>
      </x:c>
      <x:c r="G196" s="192" t="str">
        <x:v>Student Customer 35</x:v>
      </x:c>
      <x:c r="H196" s="194" t="n">
        <x:v>103</x:v>
      </x:c>
      <x:c r="I196" s="195" t="n">
        <x:v>353</x:v>
      </x:c>
      <x:c r="J196" s="196" t="n">
        <x:v>0.12</x:v>
      </x:c>
      <x:c r="K196" s="195" t="n">
        <x:f>H196*I196</x:f>
        <x:v>36359</x:v>
      </x:c>
      <x:c r="L196" s="195" t="n">
        <x:f>K196*(1-J196)</x:f>
        <x:v>31995.920000000002</x:v>
      </x:c>
      <x:c r="M196" s="195" t="n">
        <x:f>L196*(0.74-IF(E196="Healthy",0.04,IF(E196="Beverages",0.06,IF(E196="Desserts",0.05,IF(E196="North Indian",0.01,0)))))</x:f>
        <x:v>23676.9808</x:v>
      </x:c>
      <x:c r="N196" s="195" t="n">
        <x:f>L196-M196</x:f>
        <x:v>8318.9392</x:v>
      </x:c>
      <x:c r="O196" s="195" t="n">
        <x:f>L196*0.13</x:f>
        <x:v>4159.4696</x:v>
      </x:c>
      <x:c r="P196" s="195" t="n">
        <x:f>N196-O196</x:f>
        <x:v>4159.4696</x:v>
      </x:c>
      <x:c r="Q196" s="195" t="n">
        <x:v>32681.171354687027</x:v>
      </x:c>
    </x:row>
    <x:row r="197">
      <x:c r="A197" s="192" t="str">
        <x:v>ZOM-0193</x:v>
      </x:c>
      <x:c r="B197" s="193" t="n">
        <x:v>45850</x:v>
      </x:c>
      <x:c r="C197" s="236" t="str">
        <x:v>South</x:v>
      </x:c>
      <x:c r="D197" s="192" t="str">
        <x:v>Hyderabad</x:v>
      </x:c>
      <x:c r="E197" s="192" t="str">
        <x:v>Desserts</x:v>
      </x:c>
      <x:c r="F197" s="192" t="str">
        <x:v>Repeat User</x:v>
      </x:c>
      <x:c r="G197" s="192" t="str">
        <x:v>Repeat User Customer 25</x:v>
      </x:c>
      <x:c r="H197" s="194" t="n">
        <x:v>79</x:v>
      </x:c>
      <x:c r="I197" s="195" t="n">
        <x:v>321</x:v>
      </x:c>
      <x:c r="J197" s="196" t="n">
        <x:v>0.05</x:v>
      </x:c>
      <x:c r="K197" s="195" t="n">
        <x:f>H197*I197</x:f>
        <x:v>25359</x:v>
      </x:c>
      <x:c r="L197" s="195" t="n">
        <x:f>K197*(1-J197)</x:f>
        <x:v>24091.05</x:v>
      </x:c>
      <x:c r="M197" s="195" t="n">
        <x:f>L197*(0.74-IF(E197="Healthy",0.04,IF(E197="Beverages",0.06,IF(E197="Desserts",0.05,IF(E197="North Indian",0.01,0)))))</x:f>
        <x:v>16622.8245</x:v>
      </x:c>
      <x:c r="N197" s="195" t="n">
        <x:f>L197-M197</x:f>
        <x:v>7468.2255000000005</x:v>
      </x:c>
      <x:c r="O197" s="195" t="n">
        <x:f>L197*0.13</x:f>
        <x:v>3131.8365</x:v>
      </x:c>
      <x:c r="P197" s="195" t="n">
        <x:f>N197-O197</x:f>
        <x:v>4336.389000000001</x:v>
      </x:c>
      <x:c r="Q197" s="195" t="n">
        <x:v>25317.172748485063</x:v>
      </x:c>
    </x:row>
    <x:row r="198">
      <x:c r="A198" s="192" t="str">
        <x:v>ZOM-0194</x:v>
      </x:c>
      <x:c r="B198" s="193" t="n">
        <x:v>45851</x:v>
      </x:c>
      <x:c r="C198" s="236" t="str">
        <x:v>Central</x:v>
      </x:c>
      <x:c r="D198" s="192" t="str">
        <x:v>Indore</x:v>
      </x:c>
      <x:c r="E198" s="192" t="str">
        <x:v>South Indian</x:v>
      </x:c>
      <x:c r="F198" s="192" t="str">
        <x:v>New User</x:v>
      </x:c>
      <x:c r="G198" s="192" t="str">
        <x:v>New User Customer 60</x:v>
      </x:c>
      <x:c r="H198" s="194" t="n">
        <x:v>81</x:v>
      </x:c>
      <x:c r="I198" s="195" t="n">
        <x:v>440</x:v>
      </x:c>
      <x:c r="J198" s="196" t="n">
        <x:v>0.06</x:v>
      </x:c>
      <x:c r="K198" s="195" t="n">
        <x:f>H198*I198</x:f>
        <x:v>35640</x:v>
      </x:c>
      <x:c r="L198" s="195" t="n">
        <x:f>K198*(1-J198)</x:f>
        <x:v>33501.6</x:v>
      </x:c>
      <x:c r="M198" s="195" t="n">
        <x:f>L198*(0.74-IF(E198="Healthy",0.04,IF(E198="Beverages",0.06,IF(E198="Desserts",0.05,IF(E198="North Indian",0.01,0)))))</x:f>
        <x:v>24791.183999999997</x:v>
      </x:c>
      <x:c r="N198" s="195" t="n">
        <x:f>L198-M198</x:f>
        <x:v>8710.416000000001</x:v>
      </x:c>
      <x:c r="O198" s="195" t="n">
        <x:f>L198*0.13</x:f>
        <x:v>4355.208</x:v>
      </x:c>
      <x:c r="P198" s="195" t="n">
        <x:f>N198-O198</x:f>
        <x:v>4355.208000000001</x:v>
      </x:c>
      <x:c r="Q198" s="195" t="n">
        <x:v>35973.70935823562</x:v>
      </x:c>
    </x:row>
    <x:row r="199">
      <x:c r="A199" s="192" t="str">
        <x:v>ZOM-0195</x:v>
      </x:c>
      <x:c r="B199" s="193" t="n">
        <x:v>45852</x:v>
      </x:c>
      <x:c r="C199" s="236" t="str">
        <x:v>Metro</x:v>
      </x:c>
      <x:c r="D199" s="192" t="str">
        <x:v>Delhi</x:v>
      </x:c>
      <x:c r="E199" s="192" t="str">
        <x:v>Biryani</x:v>
      </x:c>
      <x:c r="F199" s="192" t="str">
        <x:v>New User</x:v>
      </x:c>
      <x:c r="G199" s="192" t="str">
        <x:v>New User Customer 35</x:v>
      </x:c>
      <x:c r="H199" s="194" t="n">
        <x:v>166</x:v>
      </x:c>
      <x:c r="I199" s="195" t="n">
        <x:v>384</x:v>
      </x:c>
      <x:c r="J199" s="196" t="n">
        <x:v>0.06</x:v>
      </x:c>
      <x:c r="K199" s="195" t="n">
        <x:f>H199*I199</x:f>
        <x:v>63744</x:v>
      </x:c>
      <x:c r="L199" s="195" t="n">
        <x:f>K199*(1-J199)</x:f>
        <x:v>59919.35999999999</x:v>
      </x:c>
      <x:c r="M199" s="195" t="n">
        <x:f>L199*(0.74-IF(E199="Healthy",0.04,IF(E199="Beverages",0.06,IF(E199="Desserts",0.05,IF(E199="North Indian",0.01,0)))))</x:f>
        <x:v>44340.3264</x:v>
      </x:c>
      <x:c r="N199" s="195" t="n">
        <x:f>L199-M199</x:f>
        <x:v>15579.033599999995</x:v>
      </x:c>
      <x:c r="O199" s="195" t="n">
        <x:f>L199*0.13</x:f>
        <x:v>7789.516799999999</x:v>
      </x:c>
      <x:c r="P199" s="195" t="n">
        <x:f>N199-O199</x:f>
        <x:v>7789.516799999996</x:v>
      </x:c>
      <x:c r="Q199" s="195" t="n">
        <x:v>63075.64448737551</x:v>
      </x:c>
    </x:row>
    <x:row r="200">
      <x:c r="A200" s="192" t="str">
        <x:v>ZOM-0196</x:v>
      </x:c>
      <x:c r="B200" s="193" t="n">
        <x:v>45853</x:v>
      </x:c>
      <x:c r="C200" s="236" t="str">
        <x:v>South</x:v>
      </x:c>
      <x:c r="D200" s="192" t="str">
        <x:v>Bengaluru</x:v>
      </x:c>
      <x:c r="E200" s="192" t="str">
        <x:v>North Indian</x:v>
      </x:c>
      <x:c r="F200" s="192" t="str">
        <x:v>Student</x:v>
      </x:c>
      <x:c r="G200" s="192" t="str">
        <x:v>Student Customer 16</x:v>
      </x:c>
      <x:c r="H200" s="194" t="n">
        <x:v>86</x:v>
      </x:c>
      <x:c r="I200" s="195" t="n">
        <x:v>609</x:v>
      </x:c>
      <x:c r="J200" s="196" t="n">
        <x:v>0.12</x:v>
      </x:c>
      <x:c r="K200" s="195" t="n">
        <x:f>H200*I200</x:f>
        <x:v>52374</x:v>
      </x:c>
      <x:c r="L200" s="195" t="n">
        <x:f>K200*(1-J200)</x:f>
        <x:v>46089.12</x:v>
      </x:c>
      <x:c r="M200" s="195" t="n">
        <x:f>L200*(0.74-IF(E200="Healthy",0.04,IF(E200="Beverages",0.06,IF(E200="Desserts",0.05,IF(E200="North Indian",0.01,0)))))</x:f>
        <x:v>33645.0576</x:v>
      </x:c>
      <x:c r="N200" s="195" t="n">
        <x:f>L200-M200</x:f>
        <x:v>12444.062400000003</x:v>
      </x:c>
      <x:c r="O200" s="195" t="n">
        <x:f>L200*0.13</x:f>
        <x:v>5991.5856</x:v>
      </x:c>
      <x:c r="P200" s="195" t="n">
        <x:f>N200-O200</x:f>
        <x:v>6452.476800000002</x:v>
      </x:c>
      <x:c r="Q200" s="195" t="n">
        <x:v>50615.34344946898</x:v>
      </x:c>
    </x:row>
    <x:row r="201">
      <x:c r="A201" s="192" t="str">
        <x:v>ZOM-0197</x:v>
      </x:c>
      <x:c r="B201" s="193" t="n">
        <x:v>45854</x:v>
      </x:c>
      <x:c r="C201" s="236" t="str">
        <x:v>South</x:v>
      </x:c>
      <x:c r="D201" s="192" t="str">
        <x:v>Hyderabad</x:v>
      </x:c>
      <x:c r="E201" s="192" t="str">
        <x:v>Snacks</x:v>
      </x:c>
      <x:c r="F201" s="192" t="str">
        <x:v>Gold User</x:v>
      </x:c>
      <x:c r="G201" s="192" t="str">
        <x:v>Gold User Customer 12</x:v>
      </x:c>
      <x:c r="H201" s="194" t="n">
        <x:v>153</x:v>
      </x:c>
      <x:c r="I201" s="195" t="n">
        <x:v>228</x:v>
      </x:c>
      <x:c r="J201" s="196" t="n">
        <x:v>0.009999999999999998</x:v>
      </x:c>
      <x:c r="K201" s="195" t="n">
        <x:f>H201*I201</x:f>
        <x:v>34884</x:v>
      </x:c>
      <x:c r="L201" s="195" t="n">
        <x:f>K201*(1-J201)</x:f>
        <x:v>34535.159999999996</x:v>
      </x:c>
      <x:c r="M201" s="195" t="n">
        <x:f>L201*(0.74-IF(E201="Healthy",0.04,IF(E201="Beverages",0.06,IF(E201="Desserts",0.05,IF(E201="North Indian",0.01,0)))))</x:f>
        <x:v>25556.018399999997</x:v>
      </x:c>
      <x:c r="N201" s="195" t="n">
        <x:f>L201-M201</x:f>
        <x:v>8979.141599999999</x:v>
      </x:c>
      <x:c r="O201" s="195" t="n">
        <x:f>L201*0.13</x:f>
        <x:v>4489.5707999999995</x:v>
      </x:c>
      <x:c r="P201" s="195" t="n">
        <x:f>N201-O201</x:f>
        <x:v>4489.5707999999995</x:v>
      </x:c>
      <x:c r="Q201" s="195" t="n">
        <x:v>37582.04013953372</x:v>
      </x:c>
    </x:row>
    <x:row r="202">
      <x:c r="A202" s="192" t="str">
        <x:v>ZOM-0198</x:v>
      </x:c>
      <x:c r="B202" s="193" t="n">
        <x:v>45855</x:v>
      </x:c>
      <x:c r="C202" s="236" t="str">
        <x:v>East</x:v>
      </x:c>
      <x:c r="D202" s="192" t="str">
        <x:v>Ranchi</x:v>
      </x:c>
      <x:c r="E202" s="192" t="str">
        <x:v>Chinese</x:v>
      </x:c>
      <x:c r="F202" s="192" t="str">
        <x:v>New User</x:v>
      </x:c>
      <x:c r="G202" s="192" t="str">
        <x:v>New User Customer 10</x:v>
      </x:c>
      <x:c r="H202" s="194" t="n">
        <x:v>103</x:v>
      </x:c>
      <x:c r="I202" s="195" t="n">
        <x:v>539</x:v>
      </x:c>
      <x:c r="J202" s="196" t="n">
        <x:v>0.09</x:v>
      </x:c>
      <x:c r="K202" s="195" t="n">
        <x:f>H202*I202</x:f>
        <x:v>55517</x:v>
      </x:c>
      <x:c r="L202" s="195" t="n">
        <x:f>K202*(1-J202)</x:f>
        <x:v>50520.47</x:v>
      </x:c>
      <x:c r="M202" s="195" t="n">
        <x:f>L202*(0.74-IF(E202="Healthy",0.04,IF(E202="Beverages",0.06,IF(E202="Desserts",0.05,IF(E202="North Indian",0.01,0)))))</x:f>
        <x:v>37385.1478</x:v>
      </x:c>
      <x:c r="N202" s="195" t="n">
        <x:f>L202-M202</x:f>
        <x:v>13135.322200000002</x:v>
      </x:c>
      <x:c r="O202" s="195" t="n">
        <x:f>L202*0.13</x:f>
        <x:v>6567.6611</x:v>
      </x:c>
      <x:c r="P202" s="195" t="n">
        <x:f>N202-O202</x:f>
        <x:v>6567.661100000002</x:v>
      </x:c>
      <x:c r="Q202" s="195" t="n">
        <x:v>53044.41993836349</x:v>
      </x:c>
    </x:row>
    <x:row r="203">
      <x:c r="A203" s="192" t="str">
        <x:v>ZOM-0199</x:v>
      </x:c>
      <x:c r="B203" s="193" t="n">
        <x:v>45856</x:v>
      </x:c>
      <x:c r="C203" s="236" t="str">
        <x:v>South</x:v>
      </x:c>
      <x:c r="D203" s="192" t="str">
        <x:v>Hyderabad</x:v>
      </x:c>
      <x:c r="E203" s="192" t="str">
        <x:v>Desserts</x:v>
      </x:c>
      <x:c r="F203" s="192" t="str">
        <x:v>Gold User</x:v>
      </x:c>
      <x:c r="G203" s="192" t="str">
        <x:v>Gold User Customer 27</x:v>
      </x:c>
      <x:c r="H203" s="194" t="n">
        <x:v>123</x:v>
      </x:c>
      <x:c r="I203" s="195" t="n">
        <x:v>266</x:v>
      </x:c>
      <x:c r="J203" s="196" t="n">
        <x:v>0.03</x:v>
      </x:c>
      <x:c r="K203" s="195" t="n">
        <x:f>H203*I203</x:f>
        <x:v>32718</x:v>
      </x:c>
      <x:c r="L203" s="195" t="n">
        <x:f>K203*(1-J203)</x:f>
        <x:v>31736.46</x:v>
      </x:c>
      <x:c r="M203" s="195" t="n">
        <x:f>L203*(0.74-IF(E203="Healthy",0.04,IF(E203="Beverages",0.06,IF(E203="Desserts",0.05,IF(E203="North Indian",0.01,0)))))</x:f>
        <x:v>21898.157399999996</x:v>
      </x:c>
      <x:c r="N203" s="195" t="n">
        <x:f>L203-M203</x:f>
        <x:v>9838.302600000003</x:v>
      </x:c>
      <x:c r="O203" s="195" t="n">
        <x:f>L203*0.13</x:f>
        <x:v>4125.7398</x:v>
      </x:c>
      <x:c r="P203" s="195" t="n">
        <x:f>N203-O203</x:f>
        <x:v>5712.562800000002</x:v>
      </x:c>
      <x:c r="Q203" s="195" t="n">
        <x:v>33878.236703235234</x:v>
      </x:c>
    </x:row>
    <x:row r="204">
      <x:c r="A204" s="192" t="str">
        <x:v>ZOM-0200</x:v>
      </x:c>
      <x:c r="B204" s="193" t="n">
        <x:v>45857</x:v>
      </x:c>
      <x:c r="C204" s="236" t="str">
        <x:v>West</x:v>
      </x:c>
      <x:c r="D204" s="192" t="str">
        <x:v>Pune</x:v>
      </x:c>
      <x:c r="E204" s="192" t="str">
        <x:v>Pizza</x:v>
      </x:c>
      <x:c r="F204" s="192" t="str">
        <x:v>Repeat User</x:v>
      </x:c>
      <x:c r="G204" s="192" t="str">
        <x:v>Repeat User Customer 13</x:v>
      </x:c>
      <x:c r="H204" s="194" t="n">
        <x:v>131</x:v>
      </x:c>
      <x:c r="I204" s="195" t="n">
        <x:v>681</x:v>
      </x:c>
      <x:c r="J204" s="196" t="n">
        <x:v>0.060000000000000005</x:v>
      </x:c>
      <x:c r="K204" s="195" t="n">
        <x:f>H204*I204</x:f>
        <x:v>89211</x:v>
      </x:c>
      <x:c r="L204" s="195" t="n">
        <x:f>K204*(1-J204)</x:f>
        <x:v>83858.34</x:v>
      </x:c>
      <x:c r="M204" s="195" t="n">
        <x:f>L204*(0.74-IF(E204="Healthy",0.04,IF(E204="Beverages",0.06,IF(E204="Desserts",0.05,IF(E204="North Indian",0.01,0)))))</x:f>
        <x:v>62055.171599999994</x:v>
      </x:c>
      <x:c r="N204" s="195" t="n">
        <x:f>L204-M204</x:f>
        <x:v>21803.168400000002</x:v>
      </x:c>
      <x:c r="O204" s="195" t="n">
        <x:f>L204*0.13</x:f>
        <x:v>10901.5842</x:v>
      </x:c>
      <x:c r="P204" s="195" t="n">
        <x:f>N204-O204</x:f>
        <x:v>10901.584200000003</x:v>
      </x:c>
      <x:c r="Q204" s="195" t="n">
        <x:v>91149.83653961515</x:v>
      </x:c>
    </x:row>
    <x:row r="205">
      <x:c r="A205" s="192" t="str">
        <x:v>ZOM-0201</x:v>
      </x:c>
      <x:c r="B205" s="193" t="n">
        <x:v>45858</x:v>
      </x:c>
      <x:c r="C205" s="236" t="str">
        <x:v>North</x:v>
      </x:c>
      <x:c r="D205" s="192" t="str">
        <x:v>Jaipur</x:v>
      </x:c>
      <x:c r="E205" s="192" t="str">
        <x:v>Burgers</x:v>
      </x:c>
      <x:c r="F205" s="192" t="str">
        <x:v>Corporate</x:v>
      </x:c>
      <x:c r="G205" s="192" t="str">
        <x:v>Corporate Customer 59</x:v>
      </x:c>
      <x:c r="H205" s="194" t="n">
        <x:v>97</x:v>
      </x:c>
      <x:c r="I205" s="195" t="n">
        <x:v>369</x:v>
      </x:c>
      <x:c r="J205" s="196" t="n">
        <x:v>0.02</x:v>
      </x:c>
      <x:c r="K205" s="195" t="n">
        <x:f>H205*I205</x:f>
        <x:v>35793</x:v>
      </x:c>
      <x:c r="L205" s="195" t="n">
        <x:f>K205*(1-J205)</x:f>
        <x:v>35077.14</x:v>
      </x:c>
      <x:c r="M205" s="195" t="n">
        <x:f>L205*(0.74-IF(E205="Healthy",0.04,IF(E205="Beverages",0.06,IF(E205="Desserts",0.05,IF(E205="North Indian",0.01,0)))))</x:f>
        <x:v>25957.083599999998</x:v>
      </x:c>
      <x:c r="N205" s="195" t="n">
        <x:f>L205-M205</x:f>
        <x:v>9120.056400000001</x:v>
      </x:c>
      <x:c r="O205" s="195" t="n">
        <x:f>L205*0.13</x:f>
        <x:v>4560.0282</x:v>
      </x:c>
      <x:c r="P205" s="195" t="n">
        <x:f>N205-O205</x:f>
        <x:v>4560.028200000002</x:v>
      </x:c>
      <x:c r="Q205" s="195" t="n">
        <x:v>36478.67228947143</x:v>
      </x:c>
    </x:row>
    <x:row r="206">
      <x:c r="A206" s="192" t="str">
        <x:v>ZOM-0202</x:v>
      </x:c>
      <x:c r="B206" s="193" t="n">
        <x:v>45859</x:v>
      </x:c>
      <x:c r="C206" s="236" t="str">
        <x:v>North</x:v>
      </x:c>
      <x:c r="D206" s="192" t="str">
        <x:v>Noida</x:v>
      </x:c>
      <x:c r="E206" s="192" t="str">
        <x:v>Snacks</x:v>
      </x:c>
      <x:c r="F206" s="192" t="str">
        <x:v>New User</x:v>
      </x:c>
      <x:c r="G206" s="192" t="str">
        <x:v>New User Customer 19</x:v>
      </x:c>
      <x:c r="H206" s="194" t="n">
        <x:v>131</x:v>
      </x:c>
      <x:c r="I206" s="195" t="n">
        <x:v>291</x:v>
      </x:c>
      <x:c r="J206" s="196" t="n">
        <x:v>0.08</x:v>
      </x:c>
      <x:c r="K206" s="195" t="n">
        <x:f>H206*I206</x:f>
        <x:v>38121</x:v>
      </x:c>
      <x:c r="L206" s="195" t="n">
        <x:f>K206*(1-J206)</x:f>
        <x:v>35071.32</x:v>
      </x:c>
      <x:c r="M206" s="195" t="n">
        <x:f>L206*(0.74-IF(E206="Healthy",0.04,IF(E206="Beverages",0.06,IF(E206="Desserts",0.05,IF(E206="North Indian",0.01,0)))))</x:f>
        <x:v>25952.7768</x:v>
      </x:c>
      <x:c r="N206" s="195" t="n">
        <x:f>L206-M206</x:f>
        <x:v>9118.5432</x:v>
      </x:c>
      <x:c r="O206" s="195" t="n">
        <x:f>L206*0.13</x:f>
        <x:v>4559.2716</x:v>
      </x:c>
      <x:c r="P206" s="195" t="n">
        <x:f>N206-O206</x:f>
        <x:v>4559.2716</x:v>
      </x:c>
      <x:c r="Q206" s="195" t="n">
        <x:v>36424.85554696664</x:v>
      </x:c>
    </x:row>
    <x:row r="207">
      <x:c r="A207" s="192" t="str">
        <x:v>ZOM-0203</x:v>
      </x:c>
      <x:c r="B207" s="193" t="n">
        <x:v>45860</x:v>
      </x:c>
      <x:c r="C207" s="236" t="str">
        <x:v>South</x:v>
      </x:c>
      <x:c r="D207" s="192" t="str">
        <x:v>Coimbatore</x:v>
      </x:c>
      <x:c r="E207" s="192" t="str">
        <x:v>Burgers</x:v>
      </x:c>
      <x:c r="F207" s="192" t="str">
        <x:v>Repeat User</x:v>
      </x:c>
      <x:c r="G207" s="192" t="str">
        <x:v>Repeat User Customer 49</x:v>
      </x:c>
      <x:c r="H207" s="194" t="n">
        <x:v>130</x:v>
      </x:c>
      <x:c r="I207" s="195" t="n">
        <x:v>427</x:v>
      </x:c>
      <x:c r="J207" s="196" t="n">
        <x:v>0.060000000000000005</x:v>
      </x:c>
      <x:c r="K207" s="195" t="n">
        <x:f>H207*I207</x:f>
        <x:v>55510</x:v>
      </x:c>
      <x:c r="L207" s="195" t="n">
        <x:f>K207*(1-J207)</x:f>
        <x:v>52179.399999999994</x:v>
      </x:c>
      <x:c r="M207" s="195" t="n">
        <x:f>L207*(0.74-IF(E207="Healthy",0.04,IF(E207="Beverages",0.06,IF(E207="Desserts",0.05,IF(E207="North Indian",0.01,0)))))</x:f>
        <x:v>38612.755999999994</x:v>
      </x:c>
      <x:c r="N207" s="195" t="n">
        <x:f>L207-M207</x:f>
        <x:v>13566.644</x:v>
      </x:c>
      <x:c r="O207" s="195" t="n">
        <x:f>L207*0.13</x:f>
        <x:v>6783.321999999999</x:v>
      </x:c>
      <x:c r="P207" s="195" t="n">
        <x:f>N207-O207</x:f>
        <x:v>6783.322000000001</x:v>
      </x:c>
      <x:c r="Q207" s="195" t="n">
        <x:v>56702.81281608903</x:v>
      </x:c>
    </x:row>
    <x:row r="208">
      <x:c r="A208" s="192" t="str">
        <x:v>ZOM-0204</x:v>
      </x:c>
      <x:c r="B208" s="193" t="n">
        <x:v>45861</x:v>
      </x:c>
      <x:c r="C208" s="236" t="str">
        <x:v>Metro</x:v>
      </x:c>
      <x:c r="D208" s="192" t="str">
        <x:v>Mumbai</x:v>
      </x:c>
      <x:c r="E208" s="192" t="str">
        <x:v>Pizza</x:v>
      </x:c>
      <x:c r="F208" s="192" t="str">
        <x:v>Repeat User</x:v>
      </x:c>
      <x:c r="G208" s="192" t="str">
        <x:v>Repeat User Customer 47</x:v>
      </x:c>
      <x:c r="H208" s="194" t="n">
        <x:v>171</x:v>
      </x:c>
      <x:c r="I208" s="195" t="n">
        <x:v>739</x:v>
      </x:c>
      <x:c r="J208" s="196" t="n">
        <x:v>0.05</x:v>
      </x:c>
      <x:c r="K208" s="195" t="n">
        <x:f>H208*I208</x:f>
        <x:v>126369</x:v>
      </x:c>
      <x:c r="L208" s="195" t="n">
        <x:f>K208*(1-J208)</x:f>
        <x:v>120050.54999999999</x:v>
      </x:c>
      <x:c r="M208" s="195" t="n">
        <x:f>L208*(0.74-IF(E208="Healthy",0.04,IF(E208="Beverages",0.06,IF(E208="Desserts",0.05,IF(E208="North Indian",0.01,0)))))</x:f>
        <x:v>88837.40699999999</x:v>
      </x:c>
      <x:c r="N208" s="195" t="n">
        <x:f>L208-M208</x:f>
        <x:v>31213.142999999996</x:v>
      </x:c>
      <x:c r="O208" s="195" t="n">
        <x:f>L208*0.13</x:f>
        <x:v>15606.571499999998</x:v>
      </x:c>
      <x:c r="P208" s="195" t="n">
        <x:f>N208-O208</x:f>
        <x:v>15606.571499999998</x:v>
      </x:c>
      <x:c r="Q208" s="195" t="n">
        <x:v>128464.1520847992</x:v>
      </x:c>
    </x:row>
    <x:row r="209">
      <x:c r="A209" s="192" t="str">
        <x:v>ZOM-0205</x:v>
      </x:c>
      <x:c r="B209" s="193" t="n">
        <x:v>45862</x:v>
      </x:c>
      <x:c r="C209" s="236" t="str">
        <x:v>West</x:v>
      </x:c>
      <x:c r="D209" s="192" t="str">
        <x:v>Pune</x:v>
      </x:c>
      <x:c r="E209" s="192" t="str">
        <x:v>Biryani</x:v>
      </x:c>
      <x:c r="F209" s="192" t="str">
        <x:v>Repeat User</x:v>
      </x:c>
      <x:c r="G209" s="192" t="str">
        <x:v>Repeat User Customer 49</x:v>
      </x:c>
      <x:c r="H209" s="194" t="n">
        <x:v>166</x:v>
      </x:c>
      <x:c r="I209" s="195" t="n">
        <x:v>542</x:v>
      </x:c>
      <x:c r="J209" s="196" t="n">
        <x:v>0.060000000000000005</x:v>
      </x:c>
      <x:c r="K209" s="195" t="n">
        <x:f>H209*I209</x:f>
        <x:v>89972</x:v>
      </x:c>
      <x:c r="L209" s="195" t="n">
        <x:f>K209*(1-J209)</x:f>
        <x:v>84573.68</x:v>
      </x:c>
      <x:c r="M209" s="195" t="n">
        <x:f>L209*(0.74-IF(E209="Healthy",0.04,IF(E209="Beverages",0.06,IF(E209="Desserts",0.05,IF(E209="North Indian",0.01,0)))))</x:f>
        <x:v>62584.523199999996</x:v>
      </x:c>
      <x:c r="N209" s="195" t="n">
        <x:f>L209-M209</x:f>
        <x:v>21989.156799999997</x:v>
      </x:c>
      <x:c r="O209" s="195" t="n">
        <x:f>L209*0.13</x:f>
        <x:v>10994.5784</x:v>
      </x:c>
      <x:c r="P209" s="195" t="n">
        <x:f>N209-O209</x:f>
        <x:v>10994.578399999997</x:v>
      </x:c>
      <x:c r="Q209" s="195" t="n">
        <x:v>87999.56644850393</x:v>
      </x:c>
    </x:row>
    <x:row r="210">
      <x:c r="A210" s="192" t="str">
        <x:v>ZOM-0206</x:v>
      </x:c>
      <x:c r="B210" s="193" t="n">
        <x:v>45863</x:v>
      </x:c>
      <x:c r="C210" s="236" t="str">
        <x:v>Central</x:v>
      </x:c>
      <x:c r="D210" s="192" t="str">
        <x:v>Kanpur</x:v>
      </x:c>
      <x:c r="E210" s="192" t="str">
        <x:v>South Indian</x:v>
      </x:c>
      <x:c r="F210" s="192" t="str">
        <x:v>Budget</x:v>
      </x:c>
      <x:c r="G210" s="192" t="str">
        <x:v>Budget Customer 04</x:v>
      </x:c>
      <x:c r="H210" s="194" t="n">
        <x:v>85</x:v>
      </x:c>
      <x:c r="I210" s="195" t="n">
        <x:v>321</x:v>
      </x:c>
      <x:c r="J210" s="196" t="n">
        <x:v>0.11</x:v>
      </x:c>
      <x:c r="K210" s="195" t="n">
        <x:f>H210*I210</x:f>
        <x:v>27285</x:v>
      </x:c>
      <x:c r="L210" s="195" t="n">
        <x:f>K210*(1-J210)</x:f>
        <x:v>24283.65</x:v>
      </x:c>
      <x:c r="M210" s="195" t="n">
        <x:f>L210*(0.74-IF(E210="Healthy",0.04,IF(E210="Beverages",0.06,IF(E210="Desserts",0.05,IF(E210="North Indian",0.01,0)))))</x:f>
        <x:v>17969.901</x:v>
      </x:c>
      <x:c r="N210" s="195" t="n">
        <x:f>L210-M210</x:f>
        <x:v>6313.749</x:v>
      </x:c>
      <x:c r="O210" s="195" t="n">
        <x:f>L210*0.13</x:f>
        <x:v>3156.8745000000004</x:v>
      </x:c>
      <x:c r="P210" s="195" t="n">
        <x:f>N210-O210</x:f>
        <x:v>3156.8744999999994</x:v>
      </x:c>
      <x:c r="Q210" s="195" t="n">
        <x:v>27169.49043041846</x:v>
      </x:c>
    </x:row>
    <x:row r="211">
      <x:c r="A211" s="192" t="str">
        <x:v>ZOM-0207</x:v>
      </x:c>
      <x:c r="B211" s="193" t="n">
        <x:v>45864</x:v>
      </x:c>
      <x:c r="C211" s="236" t="str">
        <x:v>West</x:v>
      </x:c>
      <x:c r="D211" s="192" t="str">
        <x:v>Mumbai</x:v>
      </x:c>
      <x:c r="E211" s="192" t="str">
        <x:v>Snacks</x:v>
      </x:c>
      <x:c r="F211" s="192" t="str">
        <x:v>Budget</x:v>
      </x:c>
      <x:c r="G211" s="192" t="str">
        <x:v>Budget Customer 30</x:v>
      </x:c>
      <x:c r="H211" s="194" t="n">
        <x:v>66</x:v>
      </x:c>
      <x:c r="I211" s="195" t="n">
        <x:v>239</x:v>
      </x:c>
      <x:c r="J211" s="196" t="n">
        <x:v>0.1</x:v>
      </x:c>
      <x:c r="K211" s="195" t="n">
        <x:f>H211*I211</x:f>
        <x:v>15774</x:v>
      </x:c>
      <x:c r="L211" s="195" t="n">
        <x:f>K211*(1-J211)</x:f>
        <x:v>14196.6</x:v>
      </x:c>
      <x:c r="M211" s="195" t="n">
        <x:f>L211*(0.74-IF(E211="Healthy",0.04,IF(E211="Beverages",0.06,IF(E211="Desserts",0.05,IF(E211="North Indian",0.01,0)))))</x:f>
        <x:v>10505.484</x:v>
      </x:c>
      <x:c r="N211" s="195" t="n">
        <x:f>L211-M211</x:f>
        <x:v>3691.116</x:v>
      </x:c>
      <x:c r="O211" s="195" t="n">
        <x:f>L211*0.13</x:f>
        <x:v>1845.5580000000002</x:v>
      </x:c>
      <x:c r="P211" s="195" t="n">
        <x:f>N211-O211</x:f>
        <x:v>1845.5579999999998</x:v>
      </x:c>
      <x:c r="Q211" s="195" t="n">
        <x:v>14569.209084235927</x:v>
      </x:c>
    </x:row>
    <x:row r="212">
      <x:c r="A212" s="192" t="str">
        <x:v>ZOM-0208</x:v>
      </x:c>
      <x:c r="B212" s="193" t="n">
        <x:v>45865</x:v>
      </x:c>
      <x:c r="C212" s="236" t="str">
        <x:v>South</x:v>
      </x:c>
      <x:c r="D212" s="192" t="str">
        <x:v>Coimbatore</x:v>
      </x:c>
      <x:c r="E212" s="192" t="str">
        <x:v>Burgers</x:v>
      </x:c>
      <x:c r="F212" s="192" t="str">
        <x:v>Student</x:v>
      </x:c>
      <x:c r="G212" s="192" t="str">
        <x:v>Student Customer 34</x:v>
      </x:c>
      <x:c r="H212" s="194" t="n">
        <x:v>114</x:v>
      </x:c>
      <x:c r="I212" s="195" t="n">
        <x:v>452</x:v>
      </x:c>
      <x:c r="J212" s="196" t="n">
        <x:v>0.09999999999999999</x:v>
      </x:c>
      <x:c r="K212" s="195" t="n">
        <x:f>H212*I212</x:f>
        <x:v>51528</x:v>
      </x:c>
      <x:c r="L212" s="195" t="n">
        <x:f>K212*(1-J212)</x:f>
        <x:v>46375.200000000004</x:v>
      </x:c>
      <x:c r="M212" s="195" t="n">
        <x:f>L212*(0.74-IF(E212="Healthy",0.04,IF(E212="Beverages",0.06,IF(E212="Desserts",0.05,IF(E212="North Indian",0.01,0)))))</x:f>
        <x:v>34317.648</x:v>
      </x:c>
      <x:c r="N212" s="195" t="n">
        <x:f>L212-M212</x:f>
        <x:v>12057.552000000003</x:v>
      </x:c>
      <x:c r="O212" s="195" t="n">
        <x:f>L212*0.13</x:f>
        <x:v>6028.776000000001</x:v>
      </x:c>
      <x:c r="P212" s="195" t="n">
        <x:f>N212-O212</x:f>
        <x:v>6028.776000000003</x:v>
      </x:c>
      <x:c r="Q212" s="195" t="n">
        <x:v>46441.15092205496</x:v>
      </x:c>
    </x:row>
    <x:row r="213">
      <x:c r="A213" s="192" t="str">
        <x:v>ZOM-0209</x:v>
      </x:c>
      <x:c r="B213" s="193" t="n">
        <x:v>45866</x:v>
      </x:c>
      <x:c r="C213" s="236" t="str">
        <x:v>East</x:v>
      </x:c>
      <x:c r="D213" s="192" t="str">
        <x:v>Guwahati</x:v>
      </x:c>
      <x:c r="E213" s="192" t="str">
        <x:v>Snacks</x:v>
      </x:c>
      <x:c r="F213" s="192" t="str">
        <x:v>New User</x:v>
      </x:c>
      <x:c r="G213" s="192" t="str">
        <x:v>New User Customer 13</x:v>
      </x:c>
      <x:c r="H213" s="194" t="n">
        <x:v>113</x:v>
      </x:c>
      <x:c r="I213" s="195" t="n">
        <x:v>280</x:v>
      </x:c>
      <x:c r="J213" s="196" t="n">
        <x:v>0.08</x:v>
      </x:c>
      <x:c r="K213" s="195" t="n">
        <x:f>H213*I213</x:f>
        <x:v>31640</x:v>
      </x:c>
      <x:c r="L213" s="195" t="n">
        <x:f>K213*(1-J213)</x:f>
        <x:v>29108.800000000003</x:v>
      </x:c>
      <x:c r="M213" s="195" t="n">
        <x:f>L213*(0.74-IF(E213="Healthy",0.04,IF(E213="Beverages",0.06,IF(E213="Desserts",0.05,IF(E213="North Indian",0.01,0)))))</x:f>
        <x:v>21540.512000000002</x:v>
      </x:c>
      <x:c r="N213" s="195" t="n">
        <x:f>L213-M213</x:f>
        <x:v>7568.2880000000005</x:v>
      </x:c>
      <x:c r="O213" s="195" t="n">
        <x:f>L213*0.13</x:f>
        <x:v>3784.1440000000007</x:v>
      </x:c>
      <x:c r="P213" s="195" t="n">
        <x:f>N213-O213</x:f>
        <x:v>3784.144</x:v>
      </x:c>
      <x:c r="Q213" s="195" t="n">
        <x:v>29628.907255949904</x:v>
      </x:c>
    </x:row>
    <x:row r="214">
      <x:c r="A214" s="192" t="str">
        <x:v>ZOM-0210</x:v>
      </x:c>
      <x:c r="B214" s="193" t="n">
        <x:v>45867</x:v>
      </x:c>
      <x:c r="C214" s="236" t="str">
        <x:v>East</x:v>
      </x:c>
      <x:c r="D214" s="192" t="str">
        <x:v>Patna</x:v>
      </x:c>
      <x:c r="E214" s="192" t="str">
        <x:v>Healthy</x:v>
      </x:c>
      <x:c r="F214" s="192" t="str">
        <x:v>Repeat User</x:v>
      </x:c>
      <x:c r="G214" s="192" t="str">
        <x:v>Repeat User Customer 20</x:v>
      </x:c>
      <x:c r="H214" s="194" t="n">
        <x:v>115</x:v>
      </x:c>
      <x:c r="I214" s="195" t="n">
        <x:v>333</x:v>
      </x:c>
      <x:c r="J214" s="196" t="n">
        <x:v>0.060000000000000005</x:v>
      </x:c>
      <x:c r="K214" s="195" t="n">
        <x:f>H214*I214</x:f>
        <x:v>38295</x:v>
      </x:c>
      <x:c r="L214" s="195" t="n">
        <x:f>K214*(1-J214)</x:f>
        <x:v>35997.299999999996</x:v>
      </x:c>
      <x:c r="M214" s="195" t="n">
        <x:f>L214*(0.74-IF(E214="Healthy",0.04,IF(E214="Beverages",0.06,IF(E214="Desserts",0.05,IF(E214="North Indian",0.01,0)))))</x:f>
        <x:v>25198.109999999997</x:v>
      </x:c>
      <x:c r="N214" s="195" t="n">
        <x:f>L214-M214</x:f>
        <x:v>10799.189999999999</x:v>
      </x:c>
      <x:c r="O214" s="195" t="n">
        <x:f>L214*0.13</x:f>
        <x:v>4679.648999999999</x:v>
      </x:c>
      <x:c r="P214" s="195" t="n">
        <x:f>N214-O214</x:f>
        <x:v>6119.540999999999</x:v>
      </x:c>
      <x:c r="Q214" s="195" t="n">
        <x:v>39009.134980979965</x:v>
      </x:c>
    </x:row>
    <x:row r="215">
      <x:c r="A215" s="192" t="str">
        <x:v>ZOM-0211</x:v>
      </x:c>
      <x:c r="B215" s="193" t="n">
        <x:v>45868</x:v>
      </x:c>
      <x:c r="C215" s="236" t="str">
        <x:v>East</x:v>
      </x:c>
      <x:c r="D215" s="192" t="str">
        <x:v>Kolkata</x:v>
      </x:c>
      <x:c r="E215" s="192" t="str">
        <x:v>Burgers</x:v>
      </x:c>
      <x:c r="F215" s="192" t="str">
        <x:v>Student</x:v>
      </x:c>
      <x:c r="G215" s="192" t="str">
        <x:v>Student Customer 45</x:v>
      </x:c>
      <x:c r="H215" s="194" t="n">
        <x:v>55</x:v>
      </x:c>
      <x:c r="I215" s="195" t="n">
        <x:v>353</x:v>
      </x:c>
      <x:c r="J215" s="196" t="n">
        <x:v>0.13</x:v>
      </x:c>
      <x:c r="K215" s="195" t="n">
        <x:f>H215*I215</x:f>
        <x:v>19415</x:v>
      </x:c>
      <x:c r="L215" s="195" t="n">
        <x:f>K215*(1-J215)</x:f>
        <x:v>16891.05</x:v>
      </x:c>
      <x:c r="M215" s="195" t="n">
        <x:f>L215*(0.74-IF(E215="Healthy",0.04,IF(E215="Beverages",0.06,IF(E215="Desserts",0.05,IF(E215="North Indian",0.01,0)))))</x:f>
        <x:v>12499.376999999999</x:v>
      </x:c>
      <x:c r="N215" s="195" t="n">
        <x:f>L215-M215</x:f>
        <x:v>4391.673000000001</x:v>
      </x:c>
      <x:c r="O215" s="195" t="n">
        <x:f>L215*0.13</x:f>
        <x:v>2195.8365</x:v>
      </x:c>
      <x:c r="P215" s="195" t="n">
        <x:f>N215-O215</x:f>
        <x:v>2195.836500000001</x:v>
      </x:c>
      <x:c r="Q215" s="195" t="n">
        <x:v>18181.69122979369</x:v>
      </x:c>
    </x:row>
    <x:row r="216">
      <x:c r="A216" s="192" t="str">
        <x:v>ZOM-0212</x:v>
      </x:c>
      <x:c r="B216" s="193" t="n">
        <x:v>45869</x:v>
      </x:c>
      <x:c r="C216" s="236" t="str">
        <x:v>North</x:v>
      </x:c>
      <x:c r="D216" s="192" t="str">
        <x:v>Jaipur</x:v>
      </x:c>
      <x:c r="E216" s="192" t="str">
        <x:v>Healthy</x:v>
      </x:c>
      <x:c r="F216" s="192" t="str">
        <x:v>Corporate</x:v>
      </x:c>
      <x:c r="G216" s="192" t="str">
        <x:v>Corporate Customer 58</x:v>
      </x:c>
      <x:c r="H216" s="194" t="n">
        <x:v>137</x:v>
      </x:c>
      <x:c r="I216" s="195" t="n">
        <x:v>415</x:v>
      </x:c>
      <x:c r="J216" s="196" t="n">
        <x:v>0</x:v>
      </x:c>
      <x:c r="K216" s="195" t="n">
        <x:f>H216*I216</x:f>
        <x:v>56855</x:v>
      </x:c>
      <x:c r="L216" s="195" t="n">
        <x:f>K216*(1-J216)</x:f>
        <x:v>56855</x:v>
      </x:c>
      <x:c r="M216" s="195" t="n">
        <x:f>L216*(0.74-IF(E216="Healthy",0.04,IF(E216="Beverages",0.06,IF(E216="Desserts",0.05,IF(E216="North Indian",0.01,0)))))</x:f>
        <x:v>39798.5</x:v>
      </x:c>
      <x:c r="N216" s="195" t="n">
        <x:f>L216-M216</x:f>
        <x:v>17056.5</x:v>
      </x:c>
      <x:c r="O216" s="195" t="n">
        <x:f>L216*0.13</x:f>
        <x:v>7391.150000000001</x:v>
      </x:c>
      <x:c r="P216" s="195" t="n">
        <x:f>N216-O216</x:f>
        <x:v>9665.349999999999</x:v>
      </x:c>
      <x:c r="Q216" s="195" t="n">
        <x:v>58422.6049031214</x:v>
      </x:c>
    </x:row>
    <x:row r="217">
      <x:c r="A217" s="192" t="str">
        <x:v>ZOM-0213</x:v>
      </x:c>
      <x:c r="B217" s="193" t="n">
        <x:v>45870</x:v>
      </x:c>
      <x:c r="C217" s="236" t="str">
        <x:v>Metro</x:v>
      </x:c>
      <x:c r="D217" s="192" t="str">
        <x:v>Pune</x:v>
      </x:c>
      <x:c r="E217" s="192" t="str">
        <x:v>South Indian</x:v>
      </x:c>
      <x:c r="F217" s="192" t="str">
        <x:v>New User</x:v>
      </x:c>
      <x:c r="G217" s="192" t="str">
        <x:v>New User Customer 60</x:v>
      </x:c>
      <x:c r="H217" s="194" t="n">
        <x:v>85</x:v>
      </x:c>
      <x:c r="I217" s="195" t="n">
        <x:v>401</x:v>
      </x:c>
      <x:c r="J217" s="196" t="n">
        <x:v>0.08</x:v>
      </x:c>
      <x:c r="K217" s="195" t="n">
        <x:f>H217*I217</x:f>
        <x:v>34085</x:v>
      </x:c>
      <x:c r="L217" s="195" t="n">
        <x:f>K217*(1-J217)</x:f>
        <x:v>31358.2</x:v>
      </x:c>
      <x:c r="M217" s="195" t="n">
        <x:f>L217*(0.74-IF(E217="Healthy",0.04,IF(E217="Beverages",0.06,IF(E217="Desserts",0.05,IF(E217="North Indian",0.01,0)))))</x:f>
        <x:v>23205.068</x:v>
      </x:c>
      <x:c r="N217" s="195" t="n">
        <x:f>L217-M217</x:f>
        <x:v>8153.132000000001</x:v>
      </x:c>
      <x:c r="O217" s="195" t="n">
        <x:f>L217*0.13</x:f>
        <x:v>4076.5660000000003</x:v>
      </x:c>
      <x:c r="P217" s="195" t="n">
        <x:f>N217-O217</x:f>
        <x:v>4076.566000000001</x:v>
      </x:c>
      <x:c r="Q217" s="195" t="n">
        <x:v>31482.008872289032</x:v>
      </x:c>
    </x:row>
    <x:row r="218">
      <x:c r="A218" s="192" t="str">
        <x:v>ZOM-0214</x:v>
      </x:c>
      <x:c r="B218" s="193" t="n">
        <x:v>45871</x:v>
      </x:c>
      <x:c r="C218" s="236" t="str">
        <x:v>Metro</x:v>
      </x:c>
      <x:c r="D218" s="192" t="str">
        <x:v>Delhi</x:v>
      </x:c>
      <x:c r="E218" s="192" t="str">
        <x:v>Snacks</x:v>
      </x:c>
      <x:c r="F218" s="192" t="str">
        <x:v>Corporate</x:v>
      </x:c>
      <x:c r="G218" s="192" t="str">
        <x:v>Corporate Customer 25</x:v>
      </x:c>
      <x:c r="H218" s="194" t="n">
        <x:v>157</x:v>
      </x:c>
      <x:c r="I218" s="195" t="n">
        <x:v>293</x:v>
      </x:c>
      <x:c r="J218" s="196" t="n">
        <x:v>0.02</x:v>
      </x:c>
      <x:c r="K218" s="195" t="n">
        <x:f>H218*I218</x:f>
        <x:v>46001</x:v>
      </x:c>
      <x:c r="L218" s="195" t="n">
        <x:f>K218*(1-J218)</x:f>
        <x:v>45080.979999999996</x:v>
      </x:c>
      <x:c r="M218" s="195" t="n">
        <x:f>L218*(0.74-IF(E218="Healthy",0.04,IF(E218="Beverages",0.06,IF(E218="Desserts",0.05,IF(E218="North Indian",0.01,0)))))</x:f>
        <x:v>33359.9252</x:v>
      </x:c>
      <x:c r="N218" s="195" t="n">
        <x:f>L218-M218</x:f>
        <x:v>11721.054799999998</x:v>
      </x:c>
      <x:c r="O218" s="195" t="n">
        <x:f>L218*0.13</x:f>
        <x:v>5860.5274</x:v>
      </x:c>
      <x:c r="P218" s="195" t="n">
        <x:f>N218-O218</x:f>
        <x:v>5860.527399999998</x:v>
      </x:c>
      <x:c r="Q218" s="195" t="n">
        <x:v>49596.203824778204</x:v>
      </x:c>
    </x:row>
    <x:row r="219">
      <x:c r="A219" s="192" t="str">
        <x:v>ZOM-0215</x:v>
      </x:c>
      <x:c r="B219" s="193" t="n">
        <x:v>45872</x:v>
      </x:c>
      <x:c r="C219" s="236" t="str">
        <x:v>East</x:v>
      </x:c>
      <x:c r="D219" s="192" t="str">
        <x:v>Guwahati</x:v>
      </x:c>
      <x:c r="E219" s="192" t="str">
        <x:v>Pizza</x:v>
      </x:c>
      <x:c r="F219" s="192" t="str">
        <x:v>Budget</x:v>
      </x:c>
      <x:c r="G219" s="192" t="str">
        <x:v>Budget Customer 28</x:v>
      </x:c>
      <x:c r="H219" s="194" t="n">
        <x:v>64</x:v>
      </x:c>
      <x:c r="I219" s="195" t="n">
        <x:v>719</x:v>
      </x:c>
      <x:c r="J219" s="196" t="n">
        <x:v>0.08</x:v>
      </x:c>
      <x:c r="K219" s="195" t="n">
        <x:f>H219*I219</x:f>
        <x:v>46016</x:v>
      </x:c>
      <x:c r="L219" s="195" t="n">
        <x:f>K219*(1-J219)</x:f>
        <x:v>42334.72</x:v>
      </x:c>
      <x:c r="M219" s="195" t="n">
        <x:f>L219*(0.74-IF(E219="Healthy",0.04,IF(E219="Beverages",0.06,IF(E219="Desserts",0.05,IF(E219="North Indian",0.01,0)))))</x:f>
        <x:v>31327.6928</x:v>
      </x:c>
      <x:c r="N219" s="195" t="n">
        <x:f>L219-M219</x:f>
        <x:v>11007.0272</x:v>
      </x:c>
      <x:c r="O219" s="195" t="n">
        <x:f>L219*0.13</x:f>
        <x:v>5503.5136</x:v>
      </x:c>
      <x:c r="P219" s="195" t="n">
        <x:f>N219-O219</x:f>
        <x:v>5503.5136</x:v>
      </x:c>
      <x:c r="Q219" s="195" t="n">
        <x:v>42607.50680937904</x:v>
      </x:c>
    </x:row>
    <x:row r="220">
      <x:c r="A220" s="192" t="str">
        <x:v>ZOM-0216</x:v>
      </x:c>
      <x:c r="B220" s="193" t="n">
        <x:v>45873</x:v>
      </x:c>
      <x:c r="C220" s="236" t="str">
        <x:v>South</x:v>
      </x:c>
      <x:c r="D220" s="192" t="str">
        <x:v>Bengaluru</x:v>
      </x:c>
      <x:c r="E220" s="192" t="str">
        <x:v>Pizza</x:v>
      </x:c>
      <x:c r="F220" s="192" t="str">
        <x:v>Budget</x:v>
      </x:c>
      <x:c r="G220" s="192" t="str">
        <x:v>Budget Customer 32</x:v>
      </x:c>
      <x:c r="H220" s="194" t="n">
        <x:v>126</x:v>
      </x:c>
      <x:c r="I220" s="195" t="n">
        <x:v>614</x:v>
      </x:c>
      <x:c r="J220" s="196" t="n">
        <x:v>0.1</x:v>
      </x:c>
      <x:c r="K220" s="195" t="n">
        <x:f>H220*I220</x:f>
        <x:v>77364</x:v>
      </x:c>
      <x:c r="L220" s="195" t="n">
        <x:f>K220*(1-J220)</x:f>
        <x:v>69627.6</x:v>
      </x:c>
      <x:c r="M220" s="195" t="n">
        <x:f>L220*(0.74-IF(E220="Healthy",0.04,IF(E220="Beverages",0.06,IF(E220="Desserts",0.05,IF(E220="North Indian",0.01,0)))))</x:f>
        <x:v>51524.424000000006</x:v>
      </x:c>
      <x:c r="N220" s="195" t="n">
        <x:f>L220-M220</x:f>
        <x:v>18103.176</x:v>
      </x:c>
      <x:c r="O220" s="195" t="n">
        <x:f>L220*0.13</x:f>
        <x:v>9051.588000000002</x:v>
      </x:c>
      <x:c r="P220" s="195" t="n">
        <x:f>N220-O220</x:f>
        <x:v>9051.587999999998</x:v>
      </x:c>
      <x:c r="Q220" s="195" t="n">
        <x:v>77920.9647012505</x:v>
      </x:c>
    </x:row>
    <x:row r="221">
      <x:c r="A221" s="192" t="str">
        <x:v>ZOM-0217</x:v>
      </x:c>
      <x:c r="B221" s="193" t="n">
        <x:v>45874</x:v>
      </x:c>
      <x:c r="C221" s="236" t="str">
        <x:v>South</x:v>
      </x:c>
      <x:c r="D221" s="192" t="str">
        <x:v>Coimbatore</x:v>
      </x:c>
      <x:c r="E221" s="192" t="str">
        <x:v>Beverages</x:v>
      </x:c>
      <x:c r="F221" s="192" t="str">
        <x:v>Gold User</x:v>
      </x:c>
      <x:c r="G221" s="192" t="str">
        <x:v>Gold User Customer 05</x:v>
      </x:c>
      <x:c r="H221" s="194" t="n">
        <x:v>170</x:v>
      </x:c>
      <x:c r="I221" s="195" t="n">
        <x:v>243</x:v>
      </x:c>
      <x:c r="J221" s="196" t="n">
        <x:v>0.009999999999999998</x:v>
      </x:c>
      <x:c r="K221" s="195" t="n">
        <x:f>H221*I221</x:f>
        <x:v>41310</x:v>
      </x:c>
      <x:c r="L221" s="195" t="n">
        <x:f>K221*(1-J221)</x:f>
        <x:v>40896.9</x:v>
      </x:c>
      <x:c r="M221" s="195" t="n">
        <x:f>L221*(0.74-IF(E221="Healthy",0.04,IF(E221="Beverages",0.06,IF(E221="Desserts",0.05,IF(E221="North Indian",0.01,0)))))</x:f>
        <x:v>27809.892</x:v>
      </x:c>
      <x:c r="N221" s="195" t="n">
        <x:f>L221-M221</x:f>
        <x:v>13087.008000000002</x:v>
      </x:c>
      <x:c r="O221" s="195" t="n">
        <x:f>L221*0.13</x:f>
        <x:v>5316.597000000001</x:v>
      </x:c>
      <x:c r="P221" s="195" t="n">
        <x:f>N221-O221</x:f>
        <x:v>7770.411000000001</x:v>
      </x:c>
      <x:c r="Q221" s="195" t="n">
        <x:v>42106.38384733561</x:v>
      </x:c>
    </x:row>
    <x:row r="222">
      <x:c r="A222" s="192" t="str">
        <x:v>ZOM-0218</x:v>
      </x:c>
      <x:c r="B222" s="193" t="n">
        <x:v>45875</x:v>
      </x:c>
      <x:c r="C222" s="236" t="str">
        <x:v>North</x:v>
      </x:c>
      <x:c r="D222" s="192" t="str">
        <x:v>Noida</x:v>
      </x:c>
      <x:c r="E222" s="192" t="str">
        <x:v>Pizza</x:v>
      </x:c>
      <x:c r="F222" s="192" t="str">
        <x:v>Budget</x:v>
      </x:c>
      <x:c r="G222" s="192" t="str">
        <x:v>Budget Customer 29</x:v>
      </x:c>
      <x:c r="H222" s="194" t="n">
        <x:v>72</x:v>
      </x:c>
      <x:c r="I222" s="195" t="n">
        <x:v>706</x:v>
      </x:c>
      <x:c r="J222" s="196" t="n">
        <x:v>0.1</x:v>
      </x:c>
      <x:c r="K222" s="195" t="n">
        <x:f>H222*I222</x:f>
        <x:v>50832</x:v>
      </x:c>
      <x:c r="L222" s="195" t="n">
        <x:f>K222*(1-J222)</x:f>
        <x:v>45748.8</x:v>
      </x:c>
      <x:c r="M222" s="195" t="n">
        <x:f>L222*(0.74-IF(E222="Healthy",0.04,IF(E222="Beverages",0.06,IF(E222="Desserts",0.05,IF(E222="North Indian",0.01,0)))))</x:f>
        <x:v>33854.112</x:v>
      </x:c>
      <x:c r="N222" s="195" t="n">
        <x:f>L222-M222</x:f>
        <x:v>11894.688000000002</x:v>
      </x:c>
      <x:c r="O222" s="195" t="n">
        <x:f>L222*0.13</x:f>
        <x:v>5947.344000000001</x:v>
      </x:c>
      <x:c r="P222" s="195" t="n">
        <x:f>N222-O222</x:f>
        <x:v>5947.344000000001</x:v>
      </x:c>
      <x:c r="Q222" s="195" t="n">
        <x:v>50925.51586183733</x:v>
      </x:c>
    </x:row>
    <x:row r="223">
      <x:c r="A223" s="192" t="str">
        <x:v>ZOM-0219</x:v>
      </x:c>
      <x:c r="B223" s="193" t="n">
        <x:v>45876</x:v>
      </x:c>
      <x:c r="C223" s="236" t="str">
        <x:v>South</x:v>
      </x:c>
      <x:c r="D223" s="192" t="str">
        <x:v>Chennai</x:v>
      </x:c>
      <x:c r="E223" s="192" t="str">
        <x:v>North Indian</x:v>
      </x:c>
      <x:c r="F223" s="192" t="str">
        <x:v>New User</x:v>
      </x:c>
      <x:c r="G223" s="192" t="str">
        <x:v>New User Customer 39</x:v>
      </x:c>
      <x:c r="H223" s="194" t="n">
        <x:v>125</x:v>
      </x:c>
      <x:c r="I223" s="195" t="n">
        <x:v>527</x:v>
      </x:c>
      <x:c r="J223" s="196" t="n">
        <x:v>0.09</x:v>
      </x:c>
      <x:c r="K223" s="195" t="n">
        <x:f>H223*I223</x:f>
        <x:v>65875</x:v>
      </x:c>
      <x:c r="L223" s="195" t="n">
        <x:f>K223*(1-J223)</x:f>
        <x:v>59946.25</x:v>
      </x:c>
      <x:c r="M223" s="195" t="n">
        <x:f>L223*(0.74-IF(E223="Healthy",0.04,IF(E223="Beverages",0.06,IF(E223="Desserts",0.05,IF(E223="North Indian",0.01,0)))))</x:f>
        <x:v>43760.7625</x:v>
      </x:c>
      <x:c r="N223" s="195" t="n">
        <x:f>L223-M223</x:f>
        <x:v>16185.487500000003</x:v>
      </x:c>
      <x:c r="O223" s="195" t="n">
        <x:f>L223*0.13</x:f>
        <x:v>7793.0125</x:v>
      </x:c>
      <x:c r="P223" s="195" t="n">
        <x:f>N223-O223</x:f>
        <x:v>8392.475000000002</x:v>
      </x:c>
      <x:c r="Q223" s="195" t="n">
        <x:v>63933.05788111771</x:v>
      </x:c>
    </x:row>
    <x:row r="224">
      <x:c r="A224" s="192" t="str">
        <x:v>ZOM-0220</x:v>
      </x:c>
      <x:c r="B224" s="193" t="n">
        <x:v>45877</x:v>
      </x:c>
      <x:c r="C224" s="236" t="str">
        <x:v>West</x:v>
      </x:c>
      <x:c r="D224" s="192" t="str">
        <x:v>Ahmedabad</x:v>
      </x:c>
      <x:c r="E224" s="192" t="str">
        <x:v>Healthy</x:v>
      </x:c>
      <x:c r="F224" s="192" t="str">
        <x:v>New User</x:v>
      </x:c>
      <x:c r="G224" s="192" t="str">
        <x:v>New User Customer 16</x:v>
      </x:c>
      <x:c r="H224" s="194" t="n">
        <x:v>127</x:v>
      </x:c>
      <x:c r="I224" s="195" t="n">
        <x:v>385</x:v>
      </x:c>
      <x:c r="J224" s="196" t="n">
        <x:v>0.06</x:v>
      </x:c>
      <x:c r="K224" s="195" t="n">
        <x:f>H224*I224</x:f>
        <x:v>48895</x:v>
      </x:c>
      <x:c r="L224" s="195" t="n">
        <x:f>K224*(1-J224)</x:f>
        <x:v>45961.299999999996</x:v>
      </x:c>
      <x:c r="M224" s="195" t="n">
        <x:f>L224*(0.74-IF(E224="Healthy",0.04,IF(E224="Beverages",0.06,IF(E224="Desserts",0.05,IF(E224="North Indian",0.01,0)))))</x:f>
        <x:v>32172.909999999996</x:v>
      </x:c>
      <x:c r="N224" s="195" t="n">
        <x:f>L224-M224</x:f>
        <x:v>13788.39</x:v>
      </x:c>
      <x:c r="O224" s="195" t="n">
        <x:f>L224*0.13</x:f>
        <x:v>5974.969</x:v>
      </x:c>
      <x:c r="P224" s="195" t="n">
        <x:f>N224-O224</x:f>
        <x:v>7813.420999999999</x:v>
      </x:c>
      <x:c r="Q224" s="195" t="n">
        <x:v>51436.56046565748</x:v>
      </x:c>
    </x:row>
    <x:row r="225">
      <x:c r="A225" s="192" t="str">
        <x:v>ZOM-0221</x:v>
      </x:c>
      <x:c r="B225" s="193" t="n">
        <x:v>45878</x:v>
      </x:c>
      <x:c r="C225" s="236" t="str">
        <x:v>West</x:v>
      </x:c>
      <x:c r="D225" s="192" t="str">
        <x:v>Pune</x:v>
      </x:c>
      <x:c r="E225" s="192" t="str">
        <x:v>Burgers</x:v>
      </x:c>
      <x:c r="F225" s="192" t="str">
        <x:v>New User</x:v>
      </x:c>
      <x:c r="G225" s="192" t="str">
        <x:v>New User Customer 20</x:v>
      </x:c>
      <x:c r="H225" s="194" t="n">
        <x:v>108</x:v>
      </x:c>
      <x:c r="I225" s="195" t="n">
        <x:v>389</x:v>
      </x:c>
      <x:c r="J225" s="196" t="n">
        <x:v>0.09</x:v>
      </x:c>
      <x:c r="K225" s="195" t="n">
        <x:f>H225*I225</x:f>
        <x:v>42012</x:v>
      </x:c>
      <x:c r="L225" s="195" t="n">
        <x:f>K225*(1-J225)</x:f>
        <x:v>38230.92</x:v>
      </x:c>
      <x:c r="M225" s="195" t="n">
        <x:f>L225*(0.74-IF(E225="Healthy",0.04,IF(E225="Beverages",0.06,IF(E225="Desserts",0.05,IF(E225="North Indian",0.01,0)))))</x:f>
        <x:v>28290.8808</x:v>
      </x:c>
      <x:c r="N225" s="195" t="n">
        <x:f>L225-M225</x:f>
        <x:v>9940.0392</x:v>
      </x:c>
      <x:c r="O225" s="195" t="n">
        <x:f>L225*0.13</x:f>
        <x:v>4970.0196</x:v>
      </x:c>
      <x:c r="P225" s="195" t="n">
        <x:f>N225-O225</x:f>
        <x:v>4970.0196</x:v>
      </x:c>
      <x:c r="Q225" s="195" t="n">
        <x:v>39496.95314835381</x:v>
      </x:c>
    </x:row>
    <x:row r="226">
      <x:c r="A226" s="192" t="str">
        <x:v>ZOM-0222</x:v>
      </x:c>
      <x:c r="B226" s="193" t="n">
        <x:v>45879</x:v>
      </x:c>
      <x:c r="C226" s="236" t="str">
        <x:v>West</x:v>
      </x:c>
      <x:c r="D226" s="192" t="str">
        <x:v>Mumbai</x:v>
      </x:c>
      <x:c r="E226" s="192" t="str">
        <x:v>Pizza</x:v>
      </x:c>
      <x:c r="F226" s="192" t="str">
        <x:v>Student</x:v>
      </x:c>
      <x:c r="G226" s="192" t="str">
        <x:v>Student Customer 26</x:v>
      </x:c>
      <x:c r="H226" s="194" t="n">
        <x:v>128</x:v>
      </x:c>
      <x:c r="I226" s="195" t="n">
        <x:v>641</x:v>
      </x:c>
      <x:c r="J226" s="196" t="n">
        <x:v>0.12</x:v>
      </x:c>
      <x:c r="K226" s="195" t="n">
        <x:f>H226*I226</x:f>
        <x:v>82048</x:v>
      </x:c>
      <x:c r="L226" s="195" t="n">
        <x:f>K226*(1-J226)</x:f>
        <x:v>72202.24</x:v>
      </x:c>
      <x:c r="M226" s="195" t="n">
        <x:f>L226*(0.74-IF(E226="Healthy",0.04,IF(E226="Beverages",0.06,IF(E226="Desserts",0.05,IF(E226="North Indian",0.01,0)))))</x:f>
        <x:v>53429.657600000006</x:v>
      </x:c>
      <x:c r="N226" s="195" t="n">
        <x:f>L226-M226</x:f>
        <x:v>18772.5824</x:v>
      </x:c>
      <x:c r="O226" s="195" t="n">
        <x:f>L226*0.13</x:f>
        <x:v>9386.291200000001</x:v>
      </x:c>
      <x:c r="P226" s="195" t="n">
        <x:f>N226-O226</x:f>
        <x:v>9386.291199999998</x:v>
      </x:c>
      <x:c r="Q226" s="195" t="n">
        <x:v>72260.8743077712</x:v>
      </x:c>
    </x:row>
    <x:row r="227">
      <x:c r="A227" s="192" t="str">
        <x:v>ZOM-0223</x:v>
      </x:c>
      <x:c r="B227" s="193" t="n">
        <x:v>45880</x:v>
      </x:c>
      <x:c r="C227" s="236" t="str">
        <x:v>South</x:v>
      </x:c>
      <x:c r="D227" s="192" t="str">
        <x:v>Coimbatore</x:v>
      </x:c>
      <x:c r="E227" s="192" t="str">
        <x:v>Pizza</x:v>
      </x:c>
      <x:c r="F227" s="192" t="str">
        <x:v>Student</x:v>
      </x:c>
      <x:c r="G227" s="192" t="str">
        <x:v>Student Customer 31</x:v>
      </x:c>
      <x:c r="H227" s="194" t="n">
        <x:v>103</x:v>
      </x:c>
      <x:c r="I227" s="195" t="n">
        <x:v>598</x:v>
      </x:c>
      <x:c r="J227" s="196" t="n">
        <x:v>0.12</x:v>
      </x:c>
      <x:c r="K227" s="195" t="n">
        <x:f>H227*I227</x:f>
        <x:v>61594</x:v>
      </x:c>
      <x:c r="L227" s="195" t="n">
        <x:f>K227*(1-J227)</x:f>
        <x:v>54202.72</x:v>
      </x:c>
      <x:c r="M227" s="195" t="n">
        <x:f>L227*(0.74-IF(E227="Healthy",0.04,IF(E227="Beverages",0.06,IF(E227="Desserts",0.05,IF(E227="North Indian",0.01,0)))))</x:f>
        <x:v>40110.0128</x:v>
      </x:c>
      <x:c r="N227" s="195" t="n">
        <x:f>L227-M227</x:f>
        <x:v>14092.707200000004</x:v>
      </x:c>
      <x:c r="O227" s="195" t="n">
        <x:f>L227*0.13</x:f>
        <x:v>7046.3536</x:v>
      </x:c>
      <x:c r="P227" s="195" t="n">
        <x:f>N227-O227</x:f>
        <x:v>7046.353600000004</x:v>
      </x:c>
      <x:c r="Q227" s="195" t="n">
        <x:v>58725.12803347958</x:v>
      </x:c>
    </x:row>
    <x:row r="228">
      <x:c r="A228" s="192" t="str">
        <x:v>ZOM-0224</x:v>
      </x:c>
      <x:c r="B228" s="193" t="n">
        <x:v>45881</x:v>
      </x:c>
      <x:c r="C228" s="236" t="str">
        <x:v>South</x:v>
      </x:c>
      <x:c r="D228" s="192" t="str">
        <x:v>Kochi</x:v>
      </x:c>
      <x:c r="E228" s="192" t="str">
        <x:v>Snacks</x:v>
      </x:c>
      <x:c r="F228" s="192" t="str">
        <x:v>Repeat User</x:v>
      </x:c>
      <x:c r="G228" s="192" t="str">
        <x:v>Repeat User Customer 24</x:v>
      </x:c>
      <x:c r="H228" s="194" t="n">
        <x:v>140</x:v>
      </x:c>
      <x:c r="I228" s="195" t="n">
        <x:v>297</x:v>
      </x:c>
      <x:c r="J228" s="196" t="n">
        <x:v>0.05</x:v>
      </x:c>
      <x:c r="K228" s="195" t="n">
        <x:f>H228*I228</x:f>
        <x:v>41580</x:v>
      </x:c>
      <x:c r="L228" s="195" t="n">
        <x:f>K228*(1-J228)</x:f>
        <x:v>39501</x:v>
      </x:c>
      <x:c r="M228" s="195" t="n">
        <x:f>L228*(0.74-IF(E228="Healthy",0.04,IF(E228="Beverages",0.06,IF(E228="Desserts",0.05,IF(E228="North Indian",0.01,0)))))</x:f>
        <x:v>29230.739999999998</x:v>
      </x:c>
      <x:c r="N228" s="195" t="n">
        <x:f>L228-M228</x:f>
        <x:v>10270.260000000002</x:v>
      </x:c>
      <x:c r="O228" s="195" t="n">
        <x:f>L228*0.13</x:f>
        <x:v>5135.13</x:v>
      </x:c>
      <x:c r="P228" s="195" t="n">
        <x:f>N228-O228</x:f>
        <x:v>5135.130000000002</x:v>
      </x:c>
      <x:c r="Q228" s="195" t="n">
        <x:v>43226.10166413307</x:v>
      </x:c>
    </x:row>
    <x:row r="229">
      <x:c r="A229" s="192" t="str">
        <x:v>ZOM-0225</x:v>
      </x:c>
      <x:c r="B229" s="193" t="n">
        <x:v>45882</x:v>
      </x:c>
      <x:c r="C229" s="236" t="str">
        <x:v>North</x:v>
      </x:c>
      <x:c r="D229" s="192" t="str">
        <x:v>Lucknow</x:v>
      </x:c>
      <x:c r="E229" s="192" t="str">
        <x:v>Biryani</x:v>
      </x:c>
      <x:c r="F229" s="192" t="str">
        <x:v>Student</x:v>
      </x:c>
      <x:c r="G229" s="192" t="str">
        <x:v>Student Customer 29</x:v>
      </x:c>
      <x:c r="H229" s="194" t="n">
        <x:v>72</x:v>
      </x:c>
      <x:c r="I229" s="195" t="n">
        <x:v>512</x:v>
      </x:c>
      <x:c r="J229" s="196" t="n">
        <x:v>0.09999999999999999</x:v>
      </x:c>
      <x:c r="K229" s="195" t="n">
        <x:f>H229*I229</x:f>
        <x:v>36864</x:v>
      </x:c>
      <x:c r="L229" s="195" t="n">
        <x:f>K229*(1-J229)</x:f>
        <x:v>33177.6</x:v>
      </x:c>
      <x:c r="M229" s="195" t="n">
        <x:f>L229*(0.74-IF(E229="Healthy",0.04,IF(E229="Beverages",0.06,IF(E229="Desserts",0.05,IF(E229="North Indian",0.01,0)))))</x:f>
        <x:v>24551.424</x:v>
      </x:c>
      <x:c r="N229" s="195" t="n">
        <x:f>L229-M229</x:f>
        <x:v>8626.176</x:v>
      </x:c>
      <x:c r="O229" s="195" t="n">
        <x:f>L229*0.13</x:f>
        <x:v>4313.088</x:v>
      </x:c>
      <x:c r="P229" s="195" t="n">
        <x:f>N229-O229</x:f>
        <x:v>4313.088</x:v>
      </x:c>
      <x:c r="Q229" s="195" t="n">
        <x:v>35997.83024157039</x:v>
      </x:c>
    </x:row>
    <x:row r="230">
      <x:c r="A230" s="192" t="str">
        <x:v>ZOM-0226</x:v>
      </x:c>
      <x:c r="B230" s="193" t="n">
        <x:v>45883</x:v>
      </x:c>
      <x:c r="C230" s="236" t="str">
        <x:v>Central</x:v>
      </x:c>
      <x:c r="D230" s="192" t="str">
        <x:v>Bhopal</x:v>
      </x:c>
      <x:c r="E230" s="192" t="str">
        <x:v>Healthy</x:v>
      </x:c>
      <x:c r="F230" s="192" t="str">
        <x:v>Budget</x:v>
      </x:c>
      <x:c r="G230" s="192" t="str">
        <x:v>Budget Customer 46</x:v>
      </x:c>
      <x:c r="H230" s="194" t="n">
        <x:v>86</x:v>
      </x:c>
      <x:c r="I230" s="195" t="n">
        <x:v>433</x:v>
      </x:c>
      <x:c r="J230" s="196" t="n">
        <x:v>0.1</x:v>
      </x:c>
      <x:c r="K230" s="195" t="n">
        <x:f>H230*I230</x:f>
        <x:v>37238</x:v>
      </x:c>
      <x:c r="L230" s="195" t="n">
        <x:f>K230*(1-J230)</x:f>
        <x:v>33514.200000000004</x:v>
      </x:c>
      <x:c r="M230" s="195" t="n">
        <x:f>L230*(0.74-IF(E230="Healthy",0.04,IF(E230="Beverages",0.06,IF(E230="Desserts",0.05,IF(E230="North Indian",0.01,0)))))</x:f>
        <x:v>23459.940000000002</x:v>
      </x:c>
      <x:c r="N230" s="195" t="n">
        <x:f>L230-M230</x:f>
        <x:v>10054.260000000002</x:v>
      </x:c>
      <x:c r="O230" s="195" t="n">
        <x:f>L230*0.13</x:f>
        <x:v>4356.8460000000005</x:v>
      </x:c>
      <x:c r="P230" s="195" t="n">
        <x:f>N230-O230</x:f>
        <x:v>5697.414000000002</x:v>
      </x:c>
      <x:c r="Q230" s="195" t="n">
        <x:v>36163.147495198304</x:v>
      </x:c>
    </x:row>
    <x:row r="231">
      <x:c r="A231" s="192" t="str">
        <x:v>ZOM-0227</x:v>
      </x:c>
      <x:c r="B231" s="193" t="n">
        <x:v>45884</x:v>
      </x:c>
      <x:c r="C231" s="236" t="str">
        <x:v>West</x:v>
      </x:c>
      <x:c r="D231" s="192" t="str">
        <x:v>Surat</x:v>
      </x:c>
      <x:c r="E231" s="192" t="str">
        <x:v>North Indian</x:v>
      </x:c>
      <x:c r="F231" s="192" t="str">
        <x:v>Student</x:v>
      </x:c>
      <x:c r="G231" s="192" t="str">
        <x:v>Student Customer 58</x:v>
      </x:c>
      <x:c r="H231" s="194" t="n">
        <x:v>112</x:v>
      </x:c>
      <x:c r="I231" s="195" t="n">
        <x:v>557</x:v>
      </x:c>
      <x:c r="J231" s="196" t="n">
        <x:v>0.13</x:v>
      </x:c>
      <x:c r="K231" s="195" t="n">
        <x:f>H231*I231</x:f>
        <x:v>62384</x:v>
      </x:c>
      <x:c r="L231" s="195" t="n">
        <x:f>K231*(1-J231)</x:f>
        <x:v>54274.08</x:v>
      </x:c>
      <x:c r="M231" s="195" t="n">
        <x:f>L231*(0.74-IF(E231="Healthy",0.04,IF(E231="Beverages",0.06,IF(E231="Desserts",0.05,IF(E231="North Indian",0.01,0)))))</x:f>
        <x:v>39620.0784</x:v>
      </x:c>
      <x:c r="N231" s="195" t="n">
        <x:f>L231-M231</x:f>
        <x:v>14654.001600000003</x:v>
      </x:c>
      <x:c r="O231" s="195" t="n">
        <x:f>L231*0.13</x:f>
        <x:v>7055.630400000001</x:v>
      </x:c>
      <x:c r="P231" s="195" t="n">
        <x:f>N231-O231</x:f>
        <x:v>7598.371200000002</x:v>
      </x:c>
      <x:c r="Q231" s="195" t="n">
        <x:v>56615.65589595887</x:v>
      </x:c>
    </x:row>
    <x:row r="232">
      <x:c r="A232" s="192" t="str">
        <x:v>ZOM-0228</x:v>
      </x:c>
      <x:c r="B232" s="193" t="n">
        <x:v>45885</x:v>
      </x:c>
      <x:c r="C232" s="236" t="str">
        <x:v>Central</x:v>
      </x:c>
      <x:c r="D232" s="192" t="str">
        <x:v>Varanasi</x:v>
      </x:c>
      <x:c r="E232" s="192" t="str">
        <x:v>Burgers</x:v>
      </x:c>
      <x:c r="F232" s="192" t="str">
        <x:v>New User</x:v>
      </x:c>
      <x:c r="G232" s="192" t="str">
        <x:v>New User Customer 42</x:v>
      </x:c>
      <x:c r="H232" s="194" t="n">
        <x:v>82</x:v>
      </x:c>
      <x:c r="I232" s="195" t="n">
        <x:v>452</x:v>
      </x:c>
      <x:c r="J232" s="196" t="n">
        <x:v>0.08</x:v>
      </x:c>
      <x:c r="K232" s="195" t="n">
        <x:f>H232*I232</x:f>
        <x:v>37064</x:v>
      </x:c>
      <x:c r="L232" s="195" t="n">
        <x:f>K232*(1-J232)</x:f>
        <x:v>34098.880000000005</x:v>
      </x:c>
      <x:c r="M232" s="195" t="n">
        <x:f>L232*(0.74-IF(E232="Healthy",0.04,IF(E232="Beverages",0.06,IF(E232="Desserts",0.05,IF(E232="North Indian",0.01,0)))))</x:f>
        <x:v>25233.171200000004</x:v>
      </x:c>
      <x:c r="N232" s="195" t="n">
        <x:f>L232-M232</x:f>
        <x:v>8865.7088</x:v>
      </x:c>
      <x:c r="O232" s="195" t="n">
        <x:f>L232*0.13</x:f>
        <x:v>4432.854400000001</x:v>
      </x:c>
      <x:c r="P232" s="195" t="n">
        <x:f>N232-O232</x:f>
        <x:v>4432.854399999999</x:v>
      </x:c>
      <x:c r="Q232" s="195" t="n">
        <x:v>36403.501738906474</x:v>
      </x:c>
    </x:row>
    <x:row r="233">
      <x:c r="A233" s="192" t="str">
        <x:v>ZOM-0229</x:v>
      </x:c>
      <x:c r="B233" s="193" t="n">
        <x:v>45886</x:v>
      </x:c>
      <x:c r="C233" s="236" t="str">
        <x:v>East</x:v>
      </x:c>
      <x:c r="D233" s="192" t="str">
        <x:v>Ranchi</x:v>
      </x:c>
      <x:c r="E233" s="192" t="str">
        <x:v>Snacks</x:v>
      </x:c>
      <x:c r="F233" s="192" t="str">
        <x:v>Repeat User</x:v>
      </x:c>
      <x:c r="G233" s="192" t="str">
        <x:v>Repeat User Customer 38</x:v>
      </x:c>
      <x:c r="H233" s="194" t="n">
        <x:v>113</x:v>
      </x:c>
      <x:c r="I233" s="195" t="n">
        <x:v>208</x:v>
      </x:c>
      <x:c r="J233" s="196" t="n">
        <x:v>0.030000000000000002</x:v>
      </x:c>
      <x:c r="K233" s="195" t="n">
        <x:f>H233*I233</x:f>
        <x:v>23504</x:v>
      </x:c>
      <x:c r="L233" s="195" t="n">
        <x:f>K233*(1-J233)</x:f>
        <x:v>22798.88</x:v>
      </x:c>
      <x:c r="M233" s="195" t="n">
        <x:f>L233*(0.74-IF(E233="Healthy",0.04,IF(E233="Beverages",0.06,IF(E233="Desserts",0.05,IF(E233="North Indian",0.01,0)))))</x:f>
        <x:v>16871.1712</x:v>
      </x:c>
      <x:c r="N233" s="195" t="n">
        <x:f>L233-M233</x:f>
        <x:v>5927.7088</x:v>
      </x:c>
      <x:c r="O233" s="195" t="n">
        <x:f>L233*0.13</x:f>
        <x:v>2963.8544</x:v>
      </x:c>
      <x:c r="P233" s="195" t="n">
        <x:f>N233-O233</x:f>
        <x:v>2963.8544</x:v>
      </x:c>
      <x:c r="Q233" s="195" t="n">
        <x:v>24218.240963679957</x:v>
      </x:c>
    </x:row>
    <x:row r="234">
      <x:c r="A234" s="192" t="str">
        <x:v>ZOM-0230</x:v>
      </x:c>
      <x:c r="B234" s="193" t="n">
        <x:v>45887</x:v>
      </x:c>
      <x:c r="C234" s="236" t="str">
        <x:v>East</x:v>
      </x:c>
      <x:c r="D234" s="192" t="str">
        <x:v>Bhubaneswar</x:v>
      </x:c>
      <x:c r="E234" s="192" t="str">
        <x:v>South Indian</x:v>
      </x:c>
      <x:c r="F234" s="192" t="str">
        <x:v>Repeat User</x:v>
      </x:c>
      <x:c r="G234" s="192" t="str">
        <x:v>Repeat User Customer 27</x:v>
      </x:c>
      <x:c r="H234" s="194" t="n">
        <x:v>131</x:v>
      </x:c>
      <x:c r="I234" s="195" t="n">
        <x:v>402</x:v>
      </x:c>
      <x:c r="J234" s="196" t="n">
        <x:v>0.05</x:v>
      </x:c>
      <x:c r="K234" s="195" t="n">
        <x:f>H234*I234</x:f>
        <x:v>52662</x:v>
      </x:c>
      <x:c r="L234" s="195" t="n">
        <x:f>K234*(1-J234)</x:f>
        <x:v>50028.899999999994</x:v>
      </x:c>
      <x:c r="M234" s="195" t="n">
        <x:f>L234*(0.74-IF(E234="Healthy",0.04,IF(E234="Beverages",0.06,IF(E234="Desserts",0.05,IF(E234="North Indian",0.01,0)))))</x:f>
        <x:v>37021.386</x:v>
      </x:c>
      <x:c r="N234" s="195" t="n">
        <x:f>L234-M234</x:f>
        <x:v>13007.513999999996</x:v>
      </x:c>
      <x:c r="O234" s="195" t="n">
        <x:f>L234*0.13</x:f>
        <x:v>6503.757</x:v>
      </x:c>
      <x:c r="P234" s="195" t="n">
        <x:f>N234-O234</x:f>
        <x:v>6503.756999999996</x:v>
      </x:c>
      <x:c r="Q234" s="195" t="n">
        <x:v>50656.55872520993</x:v>
      </x:c>
    </x:row>
    <x:row r="235">
      <x:c r="A235" s="192" t="str">
        <x:v>ZOM-0231</x:v>
      </x:c>
      <x:c r="B235" s="193" t="n">
        <x:v>45888</x:v>
      </x:c>
      <x:c r="C235" s="236" t="str">
        <x:v>Metro</x:v>
      </x:c>
      <x:c r="D235" s="192" t="str">
        <x:v>Delhi</x:v>
      </x:c>
      <x:c r="E235" s="192" t="str">
        <x:v>North Indian</x:v>
      </x:c>
      <x:c r="F235" s="192" t="str">
        <x:v>Student</x:v>
      </x:c>
      <x:c r="G235" s="192" t="str">
        <x:v>Student Customer 31</x:v>
      </x:c>
      <x:c r="H235" s="194" t="n">
        <x:v>78</x:v>
      </x:c>
      <x:c r="I235" s="195" t="n">
        <x:v>504</x:v>
      </x:c>
      <x:c r="J235" s="196" t="n">
        <x:v>0.12</x:v>
      </x:c>
      <x:c r="K235" s="195" t="n">
        <x:f>H235*I235</x:f>
        <x:v>39312</x:v>
      </x:c>
      <x:c r="L235" s="195" t="n">
        <x:f>K235*(1-J235)</x:f>
        <x:v>34594.56</x:v>
      </x:c>
      <x:c r="M235" s="195" t="n">
        <x:f>L235*(0.74-IF(E235="Healthy",0.04,IF(E235="Beverages",0.06,IF(E235="Desserts",0.05,IF(E235="North Indian",0.01,0)))))</x:f>
        <x:v>25254.028799999996</x:v>
      </x:c>
      <x:c r="N235" s="195" t="n">
        <x:f>L235-M235</x:f>
        <x:v>9340.531200000001</x:v>
      </x:c>
      <x:c r="O235" s="195" t="n">
        <x:f>L235*0.13</x:f>
        <x:v>4497.2928</x:v>
      </x:c>
      <x:c r="P235" s="195" t="n">
        <x:f>N235-O235</x:f>
        <x:v>4843.238400000001</x:v>
      </x:c>
      <x:c r="Q235" s="195" t="n">
        <x:v>36599.35349284002</x:v>
      </x:c>
    </x:row>
    <x:row r="236">
      <x:c r="A236" s="192" t="str">
        <x:v>ZOM-0232</x:v>
      </x:c>
      <x:c r="B236" s="193" t="n">
        <x:v>45889</x:v>
      </x:c>
      <x:c r="C236" s="236" t="str">
        <x:v>North</x:v>
      </x:c>
      <x:c r="D236" s="192" t="str">
        <x:v>Jaipur</x:v>
      </x:c>
      <x:c r="E236" s="192" t="str">
        <x:v>Pizza</x:v>
      </x:c>
      <x:c r="F236" s="192" t="str">
        <x:v>Repeat User</x:v>
      </x:c>
      <x:c r="G236" s="192" t="str">
        <x:v>Repeat User Customer 48</x:v>
      </x:c>
      <x:c r="H236" s="194" t="n">
        <x:v>84</x:v>
      </x:c>
      <x:c r="I236" s="195" t="n">
        <x:v>514</x:v>
      </x:c>
      <x:c r="J236" s="196" t="n">
        <x:v>0.05</x:v>
      </x:c>
      <x:c r="K236" s="195" t="n">
        <x:f>H236*I236</x:f>
        <x:v>43176</x:v>
      </x:c>
      <x:c r="L236" s="195" t="n">
        <x:f>K236*(1-J236)</x:f>
        <x:v>41017.2</x:v>
      </x:c>
      <x:c r="M236" s="195" t="n">
        <x:f>L236*(0.74-IF(E236="Healthy",0.04,IF(E236="Beverages",0.06,IF(E236="Desserts",0.05,IF(E236="North Indian",0.01,0)))))</x:f>
        <x:v>30352.728</x:v>
      </x:c>
      <x:c r="N236" s="195" t="n">
        <x:f>L236-M236</x:f>
        <x:v>10664.471999999998</x:v>
      </x:c>
      <x:c r="O236" s="195" t="n">
        <x:f>L236*0.13</x:f>
        <x:v>5332.236</x:v>
      </x:c>
      <x:c r="P236" s="195" t="n">
        <x:f>N236-O236</x:f>
        <x:v>5332.235999999998</x:v>
      </x:c>
      <x:c r="Q236" s="195" t="n">
        <x:v>41826.1613636731</x:v>
      </x:c>
    </x:row>
    <x:row r="237">
      <x:c r="A237" s="192" t="str">
        <x:v>ZOM-0233</x:v>
      </x:c>
      <x:c r="B237" s="193" t="n">
        <x:v>45890</x:v>
      </x:c>
      <x:c r="C237" s="236" t="str">
        <x:v>South</x:v>
      </x:c>
      <x:c r="D237" s="192" t="str">
        <x:v>Hyderabad</x:v>
      </x:c>
      <x:c r="E237" s="192" t="str">
        <x:v>Chinese</x:v>
      </x:c>
      <x:c r="F237" s="192" t="str">
        <x:v>Repeat User</x:v>
      </x:c>
      <x:c r="G237" s="192" t="str">
        <x:v>Repeat User Customer 43</x:v>
      </x:c>
      <x:c r="H237" s="194" t="n">
        <x:v>132</x:v>
      </x:c>
      <x:c r="I237" s="195" t="n">
        <x:v>542</x:v>
      </x:c>
      <x:c r="J237" s="196" t="n">
        <x:v>0.05</x:v>
      </x:c>
      <x:c r="K237" s="195" t="n">
        <x:f>H237*I237</x:f>
        <x:v>71544</x:v>
      </x:c>
      <x:c r="L237" s="195" t="n">
        <x:f>K237*(1-J237)</x:f>
        <x:v>67966.8</x:v>
      </x:c>
      <x:c r="M237" s="195" t="n">
        <x:f>L237*(0.74-IF(E237="Healthy",0.04,IF(E237="Beverages",0.06,IF(E237="Desserts",0.05,IF(E237="North Indian",0.01,0)))))</x:f>
        <x:v>50295.432</x:v>
      </x:c>
      <x:c r="N237" s="195" t="n">
        <x:f>L237-M237</x:f>
        <x:v>17671.368000000002</x:v>
      </x:c>
      <x:c r="O237" s="195" t="n">
        <x:f>L237*0.13</x:f>
        <x:v>8835.684000000001</x:v>
      </x:c>
      <x:c r="P237" s="195" t="n">
        <x:f>N237-O237</x:f>
        <x:v>8835.684000000001</x:v>
      </x:c>
      <x:c r="Q237" s="195" t="n">
        <x:v>69486.97474480435</x:v>
      </x:c>
    </x:row>
    <x:row r="238">
      <x:c r="A238" s="192" t="str">
        <x:v>ZOM-0234</x:v>
      </x:c>
      <x:c r="B238" s="193" t="n">
        <x:v>45891</x:v>
      </x:c>
      <x:c r="C238" s="236" t="str">
        <x:v>West</x:v>
      </x:c>
      <x:c r="D238" s="192" t="str">
        <x:v>Mumbai</x:v>
      </x:c>
      <x:c r="E238" s="192" t="str">
        <x:v>Desserts</x:v>
      </x:c>
      <x:c r="F238" s="192" t="str">
        <x:v>Student</x:v>
      </x:c>
      <x:c r="G238" s="192" t="str">
        <x:v>Student Customer 46</x:v>
      </x:c>
      <x:c r="H238" s="194" t="n">
        <x:v>108</x:v>
      </x:c>
      <x:c r="I238" s="195" t="n">
        <x:v>301</x:v>
      </x:c>
      <x:c r="J238" s="196" t="n">
        <x:v>0.13</x:v>
      </x:c>
      <x:c r="K238" s="195" t="n">
        <x:f>H238*I238</x:f>
        <x:v>32508</x:v>
      </x:c>
      <x:c r="L238" s="195" t="n">
        <x:f>K238*(1-J238)</x:f>
        <x:v>28281.96</x:v>
      </x:c>
      <x:c r="M238" s="195" t="n">
        <x:f>L238*(0.74-IF(E238="Healthy",0.04,IF(E238="Beverages",0.06,IF(E238="Desserts",0.05,IF(E238="North Indian",0.01,0)))))</x:f>
        <x:v>19514.552399999997</x:v>
      </x:c>
      <x:c r="N238" s="195" t="n">
        <x:f>L238-M238</x:f>
        <x:v>8767.407600000002</x:v>
      </x:c>
      <x:c r="O238" s="195" t="n">
        <x:f>L238*0.13</x:f>
        <x:v>3676.6548</x:v>
      </x:c>
      <x:c r="P238" s="195" t="n">
        <x:f>N238-O238</x:f>
        <x:v>5090.752800000002</x:v>
      </x:c>
      <x:c r="Q238" s="195" t="n">
        <x:v>29226.616483541286</x:v>
      </x:c>
    </x:row>
    <x:row r="239">
      <x:c r="A239" s="192" t="str">
        <x:v>ZOM-0235</x:v>
      </x:c>
      <x:c r="B239" s="193" t="n">
        <x:v>45892</x:v>
      </x:c>
      <x:c r="C239" s="236" t="str">
        <x:v>Central</x:v>
      </x:c>
      <x:c r="D239" s="192" t="str">
        <x:v>Bhopal</x:v>
      </x:c>
      <x:c r="E239" s="192" t="str">
        <x:v>Chinese</x:v>
      </x:c>
      <x:c r="F239" s="192" t="str">
        <x:v>Budget</x:v>
      </x:c>
      <x:c r="G239" s="192" t="str">
        <x:v>Budget Customer 32</x:v>
      </x:c>
      <x:c r="H239" s="194" t="n">
        <x:v>97</x:v>
      </x:c>
      <x:c r="I239" s="195" t="n">
        <x:v>396</x:v>
      </x:c>
      <x:c r="J239" s="196" t="n">
        <x:v>0.1</x:v>
      </x:c>
      <x:c r="K239" s="195" t="n">
        <x:f>H239*I239</x:f>
        <x:v>38412</x:v>
      </x:c>
      <x:c r="L239" s="195" t="n">
        <x:f>K239*(1-J239)</x:f>
        <x:v>34570.8</x:v>
      </x:c>
      <x:c r="M239" s="195" t="n">
        <x:f>L239*(0.74-IF(E239="Healthy",0.04,IF(E239="Beverages",0.06,IF(E239="Desserts",0.05,IF(E239="North Indian",0.01,0)))))</x:f>
        <x:v>25582.392000000003</x:v>
      </x:c>
      <x:c r="N239" s="195" t="n">
        <x:f>L239-M239</x:f>
        <x:v>8988.408</x:v>
      </x:c>
      <x:c r="O239" s="195" t="n">
        <x:f>L239*0.13</x:f>
        <x:v>4494.204000000001</x:v>
      </x:c>
      <x:c r="P239" s="195" t="n">
        <x:f>N239-O239</x:f>
        <x:v>4494.203999999999</x:v>
      </x:c>
      <x:c r="Q239" s="195" t="n">
        <x:v>37353.20219218329</x:v>
      </x:c>
    </x:row>
    <x:row r="240">
      <x:c r="A240" s="192" t="str">
        <x:v>ZOM-0236</x:v>
      </x:c>
      <x:c r="B240" s="193" t="n">
        <x:v>45893</x:v>
      </x:c>
      <x:c r="C240" s="236" t="str">
        <x:v>West</x:v>
      </x:c>
      <x:c r="D240" s="192" t="str">
        <x:v>Ahmedabad</x:v>
      </x:c>
      <x:c r="E240" s="192" t="str">
        <x:v>Chinese</x:v>
      </x:c>
      <x:c r="F240" s="192" t="str">
        <x:v>Corporate</x:v>
      </x:c>
      <x:c r="G240" s="192" t="str">
        <x:v>Corporate Customer 46</x:v>
      </x:c>
      <x:c r="H240" s="194" t="n">
        <x:v>184</x:v>
      </x:c>
      <x:c r="I240" s="195" t="n">
        <x:v>382</x:v>
      </x:c>
      <x:c r="J240" s="196" t="n">
        <x:v>0.02</x:v>
      </x:c>
      <x:c r="K240" s="195" t="n">
        <x:f>H240*I240</x:f>
        <x:v>70288</x:v>
      </x:c>
      <x:c r="L240" s="195" t="n">
        <x:f>K240*(1-J240)</x:f>
        <x:v>68882.24</x:v>
      </x:c>
      <x:c r="M240" s="195" t="n">
        <x:f>L240*(0.74-IF(E240="Healthy",0.04,IF(E240="Beverages",0.06,IF(E240="Desserts",0.05,IF(E240="North Indian",0.01,0)))))</x:f>
        <x:v>50972.8576</x:v>
      </x:c>
      <x:c r="N240" s="195" t="n">
        <x:f>L240-M240</x:f>
        <x:v>17909.382400000002</x:v>
      </x:c>
      <x:c r="O240" s="195" t="n">
        <x:f>L240*0.13</x:f>
        <x:v>8954.691200000001</x:v>
      </x:c>
      <x:c r="P240" s="195" t="n">
        <x:f>N240-O240</x:f>
        <x:v>8954.691200000001</x:v>
      </x:c>
      <x:c r="Q240" s="195" t="n">
        <x:v>75608.49364726194</x:v>
      </x:c>
    </x:row>
    <x:row r="241">
      <x:c r="A241" s="192" t="str">
        <x:v>ZOM-0237</x:v>
      </x:c>
      <x:c r="B241" s="193" t="n">
        <x:v>45894</x:v>
      </x:c>
      <x:c r="C241" s="236" t="str">
        <x:v>Central</x:v>
      </x:c>
      <x:c r="D241" s="192" t="str">
        <x:v>Varanasi</x:v>
      </x:c>
      <x:c r="E241" s="192" t="str">
        <x:v>Chinese</x:v>
      </x:c>
      <x:c r="F241" s="192" t="str">
        <x:v>Budget</x:v>
      </x:c>
      <x:c r="G241" s="192" t="str">
        <x:v>Budget Customer 25</x:v>
      </x:c>
      <x:c r="H241" s="194" t="n">
        <x:v>77</x:v>
      </x:c>
      <x:c r="I241" s="195" t="n">
        <x:v>383</x:v>
      </x:c>
      <x:c r="J241" s="196" t="n">
        <x:v>0.1</x:v>
      </x:c>
      <x:c r="K241" s="195" t="n">
        <x:f>H241*I241</x:f>
        <x:v>29491</x:v>
      </x:c>
      <x:c r="L241" s="195" t="n">
        <x:f>K241*(1-J241)</x:f>
        <x:v>26541.9</x:v>
      </x:c>
      <x:c r="M241" s="195" t="n">
        <x:f>L241*(0.74-IF(E241="Healthy",0.04,IF(E241="Beverages",0.06,IF(E241="Desserts",0.05,IF(E241="North Indian",0.01,0)))))</x:f>
        <x:v>19641.006</x:v>
      </x:c>
      <x:c r="N241" s="195" t="n">
        <x:f>L241-M241</x:f>
        <x:v>6900.894</x:v>
      </x:c>
      <x:c r="O241" s="195" t="n">
        <x:f>L241*0.13</x:f>
        <x:v>3450.447</x:v>
      </x:c>
      <x:c r="P241" s="195" t="n">
        <x:f>N241-O241</x:f>
        <x:v>3450.447</x:v>
      </x:c>
      <x:c r="Q241" s="195" t="n">
        <x:v>26992.13091834789</x:v>
      </x:c>
    </x:row>
    <x:row r="242">
      <x:c r="A242" s="192" t="str">
        <x:v>ZOM-0238</x:v>
      </x:c>
      <x:c r="B242" s="193" t="n">
        <x:v>45895</x:v>
      </x:c>
      <x:c r="C242" s="236" t="str">
        <x:v>West</x:v>
      </x:c>
      <x:c r="D242" s="192" t="str">
        <x:v>Pune</x:v>
      </x:c>
      <x:c r="E242" s="192" t="str">
        <x:v>Chinese</x:v>
      </x:c>
      <x:c r="F242" s="192" t="str">
        <x:v>Gold User</x:v>
      </x:c>
      <x:c r="G242" s="192" t="str">
        <x:v>Gold User Customer 21</x:v>
      </x:c>
      <x:c r="H242" s="194" t="n">
        <x:v>162</x:v>
      </x:c>
      <x:c r="I242" s="195" t="n">
        <x:v>481</x:v>
      </x:c>
      <x:c r="J242" s="196" t="n">
        <x:v>0.03</x:v>
      </x:c>
      <x:c r="K242" s="195" t="n">
        <x:f>H242*I242</x:f>
        <x:v>77922</x:v>
      </x:c>
      <x:c r="L242" s="195" t="n">
        <x:f>K242*(1-J242)</x:f>
        <x:v>75584.34</x:v>
      </x:c>
      <x:c r="M242" s="195" t="n">
        <x:f>L242*(0.74-IF(E242="Healthy",0.04,IF(E242="Beverages",0.06,IF(E242="Desserts",0.05,IF(E242="North Indian",0.01,0)))))</x:f>
        <x:v>55932.4116</x:v>
      </x:c>
      <x:c r="N242" s="195" t="n">
        <x:f>L242-M242</x:f>
        <x:v>19651.928399999997</x:v>
      </x:c>
      <x:c r="O242" s="195" t="n">
        <x:f>L242*0.13</x:f>
        <x:v>9825.9642</x:v>
      </x:c>
      <x:c r="P242" s="195" t="n">
        <x:f>N242-O242</x:f>
        <x:v>9825.964199999997</x:v>
      </x:c>
      <x:c r="Q242" s="195" t="n">
        <x:v>76856.84652115846</x:v>
      </x:c>
    </x:row>
    <x:row r="243">
      <x:c r="A243" s="192" t="str">
        <x:v>ZOM-0239</x:v>
      </x:c>
      <x:c r="B243" s="193" t="n">
        <x:v>45896</x:v>
      </x:c>
      <x:c r="C243" s="236" t="str">
        <x:v>Metro</x:v>
      </x:c>
      <x:c r="D243" s="192" t="str">
        <x:v>Pune</x:v>
      </x:c>
      <x:c r="E243" s="192" t="str">
        <x:v>North Indian</x:v>
      </x:c>
      <x:c r="F243" s="192" t="str">
        <x:v>Repeat User</x:v>
      </x:c>
      <x:c r="G243" s="192" t="str">
        <x:v>Repeat User Customer 32</x:v>
      </x:c>
      <x:c r="H243" s="194" t="n">
        <x:v>81</x:v>
      </x:c>
      <x:c r="I243" s="195" t="n">
        <x:v>535</x:v>
      </x:c>
      <x:c r="J243" s="196" t="n">
        <x:v>0.05</x:v>
      </x:c>
      <x:c r="K243" s="195" t="n">
        <x:f>H243*I243</x:f>
        <x:v>43335</x:v>
      </x:c>
      <x:c r="L243" s="195" t="n">
        <x:f>K243*(1-J243)</x:f>
        <x:v>41168.25</x:v>
      </x:c>
      <x:c r="M243" s="195" t="n">
        <x:f>L243*(0.74-IF(E243="Healthy",0.04,IF(E243="Beverages",0.06,IF(E243="Desserts",0.05,IF(E243="North Indian",0.01,0)))))</x:f>
        <x:v>30052.8225</x:v>
      </x:c>
      <x:c r="N243" s="195" t="n">
        <x:f>L243-M243</x:f>
        <x:v>11115.427500000002</x:v>
      </x:c>
      <x:c r="O243" s="195" t="n">
        <x:f>L243*0.13</x:f>
        <x:v>5351.8725</x:v>
      </x:c>
      <x:c r="P243" s="195" t="n">
        <x:f>N243-O243</x:f>
        <x:v>5763.555000000001</x:v>
      </x:c>
      <x:c r="Q243" s="195" t="n">
        <x:v>43665.20985069327</x:v>
      </x:c>
    </x:row>
    <x:row r="244">
      <x:c r="A244" s="192" t="str">
        <x:v>ZOM-0240</x:v>
      </x:c>
      <x:c r="B244" s="193" t="n">
        <x:v>45897</x:v>
      </x:c>
      <x:c r="C244" s="236" t="str">
        <x:v>West</x:v>
      </x:c>
      <x:c r="D244" s="192" t="str">
        <x:v>Surat</x:v>
      </x:c>
      <x:c r="E244" s="192" t="str">
        <x:v>South Indian</x:v>
      </x:c>
      <x:c r="F244" s="192" t="str">
        <x:v>Budget</x:v>
      </x:c>
      <x:c r="G244" s="192" t="str">
        <x:v>Budget Customer 15</x:v>
      </x:c>
      <x:c r="H244" s="194" t="n">
        <x:v>118</x:v>
      </x:c>
      <x:c r="I244" s="195" t="n">
        <x:v>321</x:v>
      </x:c>
      <x:c r="J244" s="196" t="n">
        <x:v>0.08</x:v>
      </x:c>
      <x:c r="K244" s="195" t="n">
        <x:f>H244*I244</x:f>
        <x:v>37878</x:v>
      </x:c>
      <x:c r="L244" s="195" t="n">
        <x:f>K244*(1-J244)</x:f>
        <x:v>34847.76</x:v>
      </x:c>
      <x:c r="M244" s="195" t="n">
        <x:f>L244*(0.74-IF(E244="Healthy",0.04,IF(E244="Beverages",0.06,IF(E244="Desserts",0.05,IF(E244="North Indian",0.01,0)))))</x:f>
        <x:v>25787.3424</x:v>
      </x:c>
      <x:c r="N244" s="195" t="n">
        <x:f>L244-M244</x:f>
        <x:v>9060.4176</x:v>
      </x:c>
      <x:c r="O244" s="195" t="n">
        <x:f>L244*0.13</x:f>
        <x:v>4530.2088</x:v>
      </x:c>
      <x:c r="P244" s="195" t="n">
        <x:f>N244-O244</x:f>
        <x:v>4530.2088</x:v>
      </x:c>
      <x:c r="Q244" s="195" t="n">
        <x:v>34984.4820648011</x:v>
      </x:c>
    </x:row>
    <x:row r="245">
      <x:c r="A245" s="192" t="str">
        <x:v>ZOM-0241</x:v>
      </x:c>
      <x:c r="B245" s="193" t="n">
        <x:v>45898</x:v>
      </x:c>
      <x:c r="C245" s="236" t="str">
        <x:v>West</x:v>
      </x:c>
      <x:c r="D245" s="192" t="str">
        <x:v>Pune</x:v>
      </x:c>
      <x:c r="E245" s="192" t="str">
        <x:v>Desserts</x:v>
      </x:c>
      <x:c r="F245" s="192" t="str">
        <x:v>Corporate</x:v>
      </x:c>
      <x:c r="G245" s="192" t="str">
        <x:v>Corporate Customer 24</x:v>
      </x:c>
      <x:c r="H245" s="194" t="n">
        <x:v>169</x:v>
      </x:c>
      <x:c r="I245" s="195" t="n">
        <x:v>296</x:v>
      </x:c>
      <x:c r="J245" s="196" t="n">
        <x:v>0</x:v>
      </x:c>
      <x:c r="K245" s="195" t="n">
        <x:f>H245*I245</x:f>
        <x:v>50024</x:v>
      </x:c>
      <x:c r="L245" s="195" t="n">
        <x:f>K245*(1-J245)</x:f>
        <x:v>50024</x:v>
      </x:c>
      <x:c r="M245" s="195" t="n">
        <x:f>L245*(0.74-IF(E245="Healthy",0.04,IF(E245="Beverages",0.06,IF(E245="Desserts",0.05,IF(E245="North Indian",0.01,0)))))</x:f>
        <x:v>34516.56</x:v>
      </x:c>
      <x:c r="N245" s="195" t="n">
        <x:f>L245-M245</x:f>
        <x:v>15507.440000000002</x:v>
      </x:c>
      <x:c r="O245" s="195" t="n">
        <x:f>L245*0.13</x:f>
        <x:v>6503.12</x:v>
      </x:c>
      <x:c r="P245" s="195" t="n">
        <x:f>N245-O245</x:f>
        <x:v>9004.320000000003</x:v>
      </x:c>
      <x:c r="Q245" s="195" t="n">
        <x:v>53284.2012383627</x:v>
      </x:c>
    </x:row>
    <x:row r="246">
      <x:c r="A246" s="192" t="str">
        <x:v>ZOM-0242</x:v>
      </x:c>
      <x:c r="B246" s="193" t="n">
        <x:v>45899</x:v>
      </x:c>
      <x:c r="C246" s="236" t="str">
        <x:v>West</x:v>
      </x:c>
      <x:c r="D246" s="192" t="str">
        <x:v>Mumbai</x:v>
      </x:c>
      <x:c r="E246" s="192" t="str">
        <x:v>Desserts</x:v>
      </x:c>
      <x:c r="F246" s="192" t="str">
        <x:v>Gold User</x:v>
      </x:c>
      <x:c r="G246" s="192" t="str">
        <x:v>Gold User Customer 56</x:v>
      </x:c>
      <x:c r="H246" s="194" t="n">
        <x:v>119</x:v>
      </x:c>
      <x:c r="I246" s="195" t="n">
        <x:v>349</x:v>
      </x:c>
      <x:c r="J246" s="196" t="n">
        <x:v>0.009999999999999998</x:v>
      </x:c>
      <x:c r="K246" s="195" t="n">
        <x:f>H246*I246</x:f>
        <x:v>41531</x:v>
      </x:c>
      <x:c r="L246" s="195" t="n">
        <x:f>K246*(1-J246)</x:f>
        <x:v>41115.69</x:v>
      </x:c>
      <x:c r="M246" s="195" t="n">
        <x:f>L246*(0.74-IF(E246="Healthy",0.04,IF(E246="Beverages",0.06,IF(E246="Desserts",0.05,IF(E246="North Indian",0.01,0)))))</x:f>
        <x:v>28369.8261</x:v>
      </x:c>
      <x:c r="N246" s="195" t="n">
        <x:f>L246-M246</x:f>
        <x:v>12745.863900000004</x:v>
      </x:c>
      <x:c r="O246" s="195" t="n">
        <x:f>L246*0.13</x:f>
        <x:v>5345.0397</x:v>
      </x:c>
      <x:c r="P246" s="195" t="n">
        <x:f>N246-O246</x:f>
        <x:v>7400.824200000004</x:v>
      </x:c>
      <x:c r="Q246" s="195" t="n">
        <x:v>42336.9820263841</x:v>
      </x:c>
    </x:row>
    <x:row r="247">
      <x:c r="A247" s="192" t="str">
        <x:v>ZOM-0243</x:v>
      </x:c>
      <x:c r="B247" s="193" t="n">
        <x:v>45900</x:v>
      </x:c>
      <x:c r="C247" s="236" t="str">
        <x:v>Metro</x:v>
      </x:c>
      <x:c r="D247" s="192" t="str">
        <x:v>Hyderabad</x:v>
      </x:c>
      <x:c r="E247" s="192" t="str">
        <x:v>Biryani</x:v>
      </x:c>
      <x:c r="F247" s="192" t="str">
        <x:v>Student</x:v>
      </x:c>
      <x:c r="G247" s="192" t="str">
        <x:v>Student Customer 38</x:v>
      </x:c>
      <x:c r="H247" s="194" t="n">
        <x:v>71</x:v>
      </x:c>
      <x:c r="I247" s="195" t="n">
        <x:v>464</x:v>
      </x:c>
      <x:c r="J247" s="196" t="n">
        <x:v>0.09999999999999999</x:v>
      </x:c>
      <x:c r="K247" s="195" t="n">
        <x:f>H247*I247</x:f>
        <x:v>32944</x:v>
      </x:c>
      <x:c r="L247" s="195" t="n">
        <x:f>K247*(1-J247)</x:f>
        <x:v>29649.600000000002</x:v>
      </x:c>
      <x:c r="M247" s="195" t="n">
        <x:f>L247*(0.74-IF(E247="Healthy",0.04,IF(E247="Beverages",0.06,IF(E247="Desserts",0.05,IF(E247="North Indian",0.01,0)))))</x:f>
        <x:v>21940.704</x:v>
      </x:c>
      <x:c r="N247" s="195" t="n">
        <x:f>L247-M247</x:f>
        <x:v>7708.896000000001</x:v>
      </x:c>
      <x:c r="O247" s="195" t="n">
        <x:f>L247*0.13</x:f>
        <x:v>3854.4480000000003</x:v>
      </x:c>
      <x:c r="P247" s="195" t="n">
        <x:f>N247-O247</x:f>
        <x:v>3854.4480000000003</x:v>
      </x:c>
      <x:c r="Q247" s="195" t="n">
        <x:v>32534.041352784217</x:v>
      </x:c>
    </x:row>
    <x:row r="248">
      <x:c r="A248" s="192" t="str">
        <x:v>ZOM-0244</x:v>
      </x:c>
      <x:c r="B248" s="193" t="n">
        <x:v>45901</x:v>
      </x:c>
      <x:c r="C248" s="236" t="str">
        <x:v>East</x:v>
      </x:c>
      <x:c r="D248" s="192" t="str">
        <x:v>Guwahati</x:v>
      </x:c>
      <x:c r="E248" s="192" t="str">
        <x:v>Burgers</x:v>
      </x:c>
      <x:c r="F248" s="192" t="str">
        <x:v>New User</x:v>
      </x:c>
      <x:c r="G248" s="192" t="str">
        <x:v>New User Customer 39</x:v>
      </x:c>
      <x:c r="H248" s="194" t="n">
        <x:v>73</x:v>
      </x:c>
      <x:c r="I248" s="195" t="n">
        <x:v>475</x:v>
      </x:c>
      <x:c r="J248" s="196" t="n">
        <x:v>0.08</x:v>
      </x:c>
      <x:c r="K248" s="195" t="n">
        <x:f>H248*I248</x:f>
        <x:v>34675</x:v>
      </x:c>
      <x:c r="L248" s="195" t="n">
        <x:f>K248*(1-J248)</x:f>
        <x:v>31901</x:v>
      </x:c>
      <x:c r="M248" s="195" t="n">
        <x:f>L248*(0.74-IF(E248="Healthy",0.04,IF(E248="Beverages",0.06,IF(E248="Desserts",0.05,IF(E248="North Indian",0.01,0)))))</x:f>
        <x:v>23606.739999999998</x:v>
      </x:c>
      <x:c r="N248" s="195" t="n">
        <x:f>L248-M248</x:f>
        <x:v>8294.260000000002</x:v>
      </x:c>
      <x:c r="O248" s="195" t="n">
        <x:f>L248*0.13</x:f>
        <x:v>4147.13</x:v>
      </x:c>
      <x:c r="P248" s="195" t="n">
        <x:f>N248-O248</x:f>
        <x:v>4147.130000000002</x:v>
      </x:c>
      <x:c r="Q248" s="195" t="n">
        <x:v>33938.63476602962</x:v>
      </x:c>
    </x:row>
    <x:row r="249">
      <x:c r="A249" s="192" t="str">
        <x:v>ZOM-0245</x:v>
      </x:c>
      <x:c r="B249" s="193" t="n">
        <x:v>45902</x:v>
      </x:c>
      <x:c r="C249" s="236" t="str">
        <x:v>West</x:v>
      </x:c>
      <x:c r="D249" s="192" t="str">
        <x:v>Ahmedabad</x:v>
      </x:c>
      <x:c r="E249" s="192" t="str">
        <x:v>Snacks</x:v>
      </x:c>
      <x:c r="F249" s="192" t="str">
        <x:v>Repeat User</x:v>
      </x:c>
      <x:c r="G249" s="192" t="str">
        <x:v>Repeat User Customer 04</x:v>
      </x:c>
      <x:c r="H249" s="194" t="n">
        <x:v>154</x:v>
      </x:c>
      <x:c r="I249" s="195" t="n">
        <x:v>224</x:v>
      </x:c>
      <x:c r="J249" s="196" t="n">
        <x:v>0.030000000000000002</x:v>
      </x:c>
      <x:c r="K249" s="195" t="n">
        <x:f>H249*I249</x:f>
        <x:v>34496</x:v>
      </x:c>
      <x:c r="L249" s="195" t="n">
        <x:f>K249*(1-J249)</x:f>
        <x:v>33461.12</x:v>
      </x:c>
      <x:c r="M249" s="195" t="n">
        <x:f>L249*(0.74-IF(E249="Healthy",0.04,IF(E249="Beverages",0.06,IF(E249="Desserts",0.05,IF(E249="North Indian",0.01,0)))))</x:f>
        <x:v>24761.2288</x:v>
      </x:c>
      <x:c r="N249" s="195" t="n">
        <x:f>L249-M249</x:f>
        <x:v>8699.891200000002</x:v>
      </x:c>
      <x:c r="O249" s="195" t="n">
        <x:f>L249*0.13</x:f>
        <x:v>4349.945600000001</x:v>
      </x:c>
      <x:c r="P249" s="195" t="n">
        <x:f>N249-O249</x:f>
        <x:v>4349.945600000001</x:v>
      </x:c>
      <x:c r="Q249" s="195" t="n">
        <x:v>35113.8164735506</x:v>
      </x:c>
    </x:row>
    <x:row r="250">
      <x:c r="A250" s="192" t="str">
        <x:v>ZOM-0246</x:v>
      </x:c>
      <x:c r="B250" s="193" t="n">
        <x:v>45903</x:v>
      </x:c>
      <x:c r="C250" s="236" t="str">
        <x:v>Metro</x:v>
      </x:c>
      <x:c r="D250" s="192" t="str">
        <x:v>Mumbai</x:v>
      </x:c>
      <x:c r="E250" s="192" t="str">
        <x:v>Desserts</x:v>
      </x:c>
      <x:c r="F250" s="192" t="str">
        <x:v>New User</x:v>
      </x:c>
      <x:c r="G250" s="192" t="str">
        <x:v>New User Customer 37</x:v>
      </x:c>
      <x:c r="H250" s="194" t="n">
        <x:v>93</x:v>
      </x:c>
      <x:c r="I250" s="195" t="n">
        <x:v>315</x:v>
      </x:c>
      <x:c r="J250" s="196" t="n">
        <x:v>0.08</x:v>
      </x:c>
      <x:c r="K250" s="195" t="n">
        <x:f>H250*I250</x:f>
        <x:v>29295</x:v>
      </x:c>
      <x:c r="L250" s="195" t="n">
        <x:f>K250*(1-J250)</x:f>
        <x:v>26951.4</x:v>
      </x:c>
      <x:c r="M250" s="195" t="n">
        <x:f>L250*(0.74-IF(E250="Healthy",0.04,IF(E250="Beverages",0.06,IF(E250="Desserts",0.05,IF(E250="North Indian",0.01,0)))))</x:f>
        <x:v>18596.466</x:v>
      </x:c>
      <x:c r="N250" s="195" t="n">
        <x:f>L250-M250</x:f>
        <x:v>8354.934000000001</x:v>
      </x:c>
      <x:c r="O250" s="195" t="n">
        <x:f>L250*0.13</x:f>
        <x:v>3503.6820000000002</x:v>
      </x:c>
      <x:c r="P250" s="195" t="n">
        <x:f>N250-O250</x:f>
        <x:v>4851.252</x:v>
      </x:c>
      <x:c r="Q250" s="195" t="n">
        <x:v>28534.39174867713</x:v>
      </x:c>
    </x:row>
    <x:row r="251">
      <x:c r="A251" s="192" t="str">
        <x:v>ZOM-0247</x:v>
      </x:c>
      <x:c r="B251" s="193" t="n">
        <x:v>45904</x:v>
      </x:c>
      <x:c r="C251" s="236" t="str">
        <x:v>East</x:v>
      </x:c>
      <x:c r="D251" s="192" t="str">
        <x:v>Ranchi</x:v>
      </x:c>
      <x:c r="E251" s="192" t="str">
        <x:v>Pizza</x:v>
      </x:c>
      <x:c r="F251" s="192" t="str">
        <x:v>New User</x:v>
      </x:c>
      <x:c r="G251" s="192" t="str">
        <x:v>New User Customer 32</x:v>
      </x:c>
      <x:c r="H251" s="194" t="n">
        <x:v>68</x:v>
      </x:c>
      <x:c r="I251" s="195" t="n">
        <x:v>616</x:v>
      </x:c>
      <x:c r="J251" s="196" t="n">
        <x:v>0.08</x:v>
      </x:c>
      <x:c r="K251" s="195" t="n">
        <x:f>H251*I251</x:f>
        <x:v>41888</x:v>
      </x:c>
      <x:c r="L251" s="195" t="n">
        <x:f>K251*(1-J251)</x:f>
        <x:v>38536.96</x:v>
      </x:c>
      <x:c r="M251" s="195" t="n">
        <x:f>L251*(0.74-IF(E251="Healthy",0.04,IF(E251="Beverages",0.06,IF(E251="Desserts",0.05,IF(E251="North Indian",0.01,0)))))</x:f>
        <x:v>28517.3504</x:v>
      </x:c>
      <x:c r="N251" s="195" t="n">
        <x:f>L251-M251</x:f>
        <x:v>10019.6096</x:v>
      </x:c>
      <x:c r="O251" s="195" t="n">
        <x:f>L251*0.13</x:f>
        <x:v>5009.8048</x:v>
      </x:c>
      <x:c r="P251" s="195" t="n">
        <x:f>N251-O251</x:f>
        <x:v>5009.8048</x:v>
      </x:c>
      <x:c r="Q251" s="195" t="n">
        <x:v>40639.6705648666</x:v>
      </x:c>
    </x:row>
    <x:row r="252">
      <x:c r="A252" s="192" t="str">
        <x:v>ZOM-0248</x:v>
      </x:c>
      <x:c r="B252" s="193" t="n">
        <x:v>45905</x:v>
      </x:c>
      <x:c r="C252" s="236" t="str">
        <x:v>South</x:v>
      </x:c>
      <x:c r="D252" s="192" t="str">
        <x:v>Bengaluru</x:v>
      </x:c>
      <x:c r="E252" s="192" t="str">
        <x:v>Beverages</x:v>
      </x:c>
      <x:c r="F252" s="192" t="str">
        <x:v>Student</x:v>
      </x:c>
      <x:c r="G252" s="192" t="str">
        <x:v>Student Customer 51</x:v>
      </x:c>
      <x:c r="H252" s="194" t="n">
        <x:v>65</x:v>
      </x:c>
      <x:c r="I252" s="195" t="n">
        <x:v>250</x:v>
      </x:c>
      <x:c r="J252" s="196" t="n">
        <x:v>0.13</x:v>
      </x:c>
      <x:c r="K252" s="195" t="n">
        <x:f>H252*I252</x:f>
        <x:v>16250</x:v>
      </x:c>
      <x:c r="L252" s="195" t="n">
        <x:f>K252*(1-J252)</x:f>
        <x:v>14137.5</x:v>
      </x:c>
      <x:c r="M252" s="195" t="n">
        <x:f>L252*(0.74-IF(E252="Healthy",0.04,IF(E252="Beverages",0.06,IF(E252="Desserts",0.05,IF(E252="North Indian",0.01,0)))))</x:f>
        <x:v>9613.5</x:v>
      </x:c>
      <x:c r="N252" s="195" t="n">
        <x:f>L252-M252</x:f>
        <x:v>4524</x:v>
      </x:c>
      <x:c r="O252" s="195" t="n">
        <x:f>L252*0.13</x:f>
        <x:v>1837.875</x:v>
      </x:c>
      <x:c r="P252" s="195" t="n">
        <x:f>N252-O252</x:f>
        <x:v>2686.125</x:v>
      </x:c>
      <x:c r="Q252" s="195" t="n">
        <x:v>15579.70523580492</x:v>
      </x:c>
    </x:row>
    <x:row r="253">
      <x:c r="A253" s="192" t="str">
        <x:v>ZOM-0249</x:v>
      </x:c>
      <x:c r="B253" s="193" t="n">
        <x:v>45906</x:v>
      </x:c>
      <x:c r="C253" s="236" t="str">
        <x:v>West</x:v>
      </x:c>
      <x:c r="D253" s="192" t="str">
        <x:v>Pune</x:v>
      </x:c>
      <x:c r="E253" s="192" t="str">
        <x:v>Snacks</x:v>
      </x:c>
      <x:c r="F253" s="192" t="str">
        <x:v>Budget</x:v>
      </x:c>
      <x:c r="G253" s="192" t="str">
        <x:v>Budget Customer 32</x:v>
      </x:c>
      <x:c r="H253" s="194" t="n">
        <x:v>116</x:v>
      </x:c>
      <x:c r="I253" s="195" t="n">
        <x:v>225</x:v>
      </x:c>
      <x:c r="J253" s="196" t="n">
        <x:v>0.1</x:v>
      </x:c>
      <x:c r="K253" s="195" t="n">
        <x:f>H253*I253</x:f>
        <x:v>26100</x:v>
      </x:c>
      <x:c r="L253" s="195" t="n">
        <x:f>K253*(1-J253)</x:f>
        <x:v>23490</x:v>
      </x:c>
      <x:c r="M253" s="195" t="n">
        <x:f>L253*(0.74-IF(E253="Healthy",0.04,IF(E253="Beverages",0.06,IF(E253="Desserts",0.05,IF(E253="North Indian",0.01,0)))))</x:f>
        <x:v>17382.6</x:v>
      </x:c>
      <x:c r="N253" s="195" t="n">
        <x:f>L253-M253</x:f>
        <x:v>6107.4000000000015</x:v>
      </x:c>
      <x:c r="O253" s="195" t="n">
        <x:f>L253*0.13</x:f>
        <x:v>3053.7000000000003</x:v>
      </x:c>
      <x:c r="P253" s="195" t="n">
        <x:f>N253-O253</x:f>
        <x:v>3053.700000000001</x:v>
      </x:c>
      <x:c r="Q253" s="195" t="n">
        <x:v>25085.84138225324</x:v>
      </x:c>
    </x:row>
    <x:row r="254">
      <x:c r="A254" s="192" t="str">
        <x:v>ZOM-0250</x:v>
      </x:c>
      <x:c r="B254" s="193" t="n">
        <x:v>45907</x:v>
      </x:c>
      <x:c r="C254" s="236" t="str">
        <x:v>Central</x:v>
      </x:c>
      <x:c r="D254" s="192" t="str">
        <x:v>Bhopal</x:v>
      </x:c>
      <x:c r="E254" s="192" t="str">
        <x:v>North Indian</x:v>
      </x:c>
      <x:c r="F254" s="192" t="str">
        <x:v>Corporate</x:v>
      </x:c>
      <x:c r="G254" s="192" t="str">
        <x:v>Corporate Customer 13</x:v>
      </x:c>
      <x:c r="H254" s="194" t="n">
        <x:v>125</x:v>
      </x:c>
      <x:c r="I254" s="195" t="n">
        <x:v>430</x:v>
      </x:c>
      <x:c r="J254" s="196" t="n">
        <x:v>0.02</x:v>
      </x:c>
      <x:c r="K254" s="195" t="n">
        <x:f>H254*I254</x:f>
        <x:v>53750</x:v>
      </x:c>
      <x:c r="L254" s="195" t="n">
        <x:f>K254*(1-J254)</x:f>
        <x:v>52675</x:v>
      </x:c>
      <x:c r="M254" s="195" t="n">
        <x:f>L254*(0.74-IF(E254="Healthy",0.04,IF(E254="Beverages",0.06,IF(E254="Desserts",0.05,IF(E254="North Indian",0.01,0)))))</x:f>
        <x:v>38452.75</x:v>
      </x:c>
      <x:c r="N254" s="195" t="n">
        <x:f>L254-M254</x:f>
        <x:v>14222.25</x:v>
      </x:c>
      <x:c r="O254" s="195" t="n">
        <x:f>L254*0.13</x:f>
        <x:v>6847.75</x:v>
      </x:c>
      <x:c r="P254" s="195" t="n">
        <x:f>N254-O254</x:f>
        <x:v>7374.5</x:v>
      </x:c>
      <x:c r="Q254" s="195" t="n">
        <x:v>58730.71881377041</x:v>
      </x:c>
    </x:row>
    <x:row r="255">
      <x:c r="A255" s="192" t="str">
        <x:v>ZOM-0251</x:v>
      </x:c>
      <x:c r="B255" s="193" t="n">
        <x:v>45908</x:v>
      </x:c>
      <x:c r="C255" s="236" t="str">
        <x:v>Metro</x:v>
      </x:c>
      <x:c r="D255" s="192" t="str">
        <x:v>Mumbai</x:v>
      </x:c>
      <x:c r="E255" s="192" t="str">
        <x:v>Beverages</x:v>
      </x:c>
      <x:c r="F255" s="192" t="str">
        <x:v>Repeat User</x:v>
      </x:c>
      <x:c r="G255" s="192" t="str">
        <x:v>Repeat User Customer 11</x:v>
      </x:c>
      <x:c r="H255" s="194" t="n">
        <x:v>117</x:v>
      </x:c>
      <x:c r="I255" s="195" t="n">
        <x:v>189</x:v>
      </x:c>
      <x:c r="J255" s="196" t="n">
        <x:v>0.05</x:v>
      </x:c>
      <x:c r="K255" s="195" t="n">
        <x:f>H255*I255</x:f>
        <x:v>22113</x:v>
      </x:c>
      <x:c r="L255" s="195" t="n">
        <x:f>K255*(1-J255)</x:f>
        <x:v>21007.35</x:v>
      </x:c>
      <x:c r="M255" s="195" t="n">
        <x:f>L255*(0.74-IF(E255="Healthy",0.04,IF(E255="Beverages",0.06,IF(E255="Desserts",0.05,IF(E255="North Indian",0.01,0)))))</x:f>
        <x:v>14284.997999999998</x:v>
      </x:c>
      <x:c r="N255" s="195" t="n">
        <x:f>L255-M255</x:f>
        <x:v>6722.352000000001</x:v>
      </x:c>
      <x:c r="O255" s="195" t="n">
        <x:f>L255*0.13</x:f>
        <x:v>2730.9555</x:v>
      </x:c>
      <x:c r="P255" s="195" t="n">
        <x:f>N255-O255</x:f>
        <x:v>3991.3965000000007</x:v>
      </x:c>
      <x:c r="Q255" s="195" t="n">
        <x:v>23285.72382930297</x:v>
      </x:c>
    </x:row>
    <x:row r="256">
      <x:c r="A256" s="192" t="str">
        <x:v>ZOM-0252</x:v>
      </x:c>
      <x:c r="B256" s="193" t="n">
        <x:v>45909</x:v>
      </x:c>
      <x:c r="C256" s="236" t="str">
        <x:v>North</x:v>
      </x:c>
      <x:c r="D256" s="192" t="str">
        <x:v>Gurugram</x:v>
      </x:c>
      <x:c r="E256" s="192" t="str">
        <x:v>Desserts</x:v>
      </x:c>
      <x:c r="F256" s="192" t="str">
        <x:v>Budget</x:v>
      </x:c>
      <x:c r="G256" s="192" t="str">
        <x:v>Budget Customer 15</x:v>
      </x:c>
      <x:c r="H256" s="194" t="n">
        <x:v>99</x:v>
      </x:c>
      <x:c r="I256" s="195" t="n">
        <x:v>309</x:v>
      </x:c>
      <x:c r="J256" s="196" t="n">
        <x:v>0.08</x:v>
      </x:c>
      <x:c r="K256" s="195" t="n">
        <x:f>H256*I256</x:f>
        <x:v>30591</x:v>
      </x:c>
      <x:c r="L256" s="195" t="n">
        <x:f>K256*(1-J256)</x:f>
        <x:v>28143.72</x:v>
      </x:c>
      <x:c r="M256" s="195" t="n">
        <x:f>L256*(0.74-IF(E256="Healthy",0.04,IF(E256="Beverages",0.06,IF(E256="Desserts",0.05,IF(E256="North Indian",0.01,0)))))</x:f>
        <x:v>19419.1668</x:v>
      </x:c>
      <x:c r="N256" s="195" t="n">
        <x:f>L256-M256</x:f>
        <x:v>8724.553200000002</x:v>
      </x:c>
      <x:c r="O256" s="195" t="n">
        <x:f>L256*0.13</x:f>
        <x:v>3658.6836000000003</x:v>
      </x:c>
      <x:c r="P256" s="195" t="n">
        <x:f>N256-O256</x:f>
        <x:v>5065.869600000002</x:v>
      </x:c>
      <x:c r="Q256" s="195" t="n">
        <x:v>28591.879894947793</x:v>
      </x:c>
    </x:row>
    <x:row r="257">
      <x:c r="A257" s="192" t="str">
        <x:v>ZOM-0253</x:v>
      </x:c>
      <x:c r="B257" s="193" t="n">
        <x:v>45910</x:v>
      </x:c>
      <x:c r="C257" s="236" t="str">
        <x:v>West</x:v>
      </x:c>
      <x:c r="D257" s="192" t="str">
        <x:v>Surat</x:v>
      </x:c>
      <x:c r="E257" s="192" t="str">
        <x:v>North Indian</x:v>
      </x:c>
      <x:c r="F257" s="192" t="str">
        <x:v>Budget</x:v>
      </x:c>
      <x:c r="G257" s="192" t="str">
        <x:v>Budget Customer 06</x:v>
      </x:c>
      <x:c r="H257" s="194" t="n">
        <x:v>74</x:v>
      </x:c>
      <x:c r="I257" s="195" t="n">
        <x:v>647</x:v>
      </x:c>
      <x:c r="J257" s="196" t="n">
        <x:v>0.11</x:v>
      </x:c>
      <x:c r="K257" s="195" t="n">
        <x:f>H257*I257</x:f>
        <x:v>47878</x:v>
      </x:c>
      <x:c r="L257" s="195" t="n">
        <x:f>K257*(1-J257)</x:f>
        <x:v>42611.42</x:v>
      </x:c>
      <x:c r="M257" s="195" t="n">
        <x:f>L257*(0.74-IF(E257="Healthy",0.04,IF(E257="Beverages",0.06,IF(E257="Desserts",0.05,IF(E257="North Indian",0.01,0)))))</x:f>
        <x:v>31106.3366</x:v>
      </x:c>
      <x:c r="N257" s="195" t="n">
        <x:f>L257-M257</x:f>
        <x:v>11505.0834</x:v>
      </x:c>
      <x:c r="O257" s="195" t="n">
        <x:f>L257*0.13</x:f>
        <x:v>5539.4846</x:v>
      </x:c>
      <x:c r="P257" s="195" t="n">
        <x:f>N257-O257</x:f>
        <x:v>5965.5988</x:v>
      </x:c>
      <x:c r="Q257" s="195" t="n">
        <x:v>43782.110135237795</x:v>
      </x:c>
    </x:row>
    <x:row r="258">
      <x:c r="A258" s="192" t="str">
        <x:v>ZOM-0254</x:v>
      </x:c>
      <x:c r="B258" s="193" t="n">
        <x:v>45911</x:v>
      </x:c>
      <x:c r="C258" s="236" t="str">
        <x:v>Central</x:v>
      </x:c>
      <x:c r="D258" s="192" t="str">
        <x:v>Bhopal</x:v>
      </x:c>
      <x:c r="E258" s="192" t="str">
        <x:v>North Indian</x:v>
      </x:c>
      <x:c r="F258" s="192" t="str">
        <x:v>Repeat User</x:v>
      </x:c>
      <x:c r="G258" s="192" t="str">
        <x:v>Repeat User Customer 37</x:v>
      </x:c>
      <x:c r="H258" s="194" t="n">
        <x:v>92</x:v>
      </x:c>
      <x:c r="I258" s="195" t="n">
        <x:v>457</x:v>
      </x:c>
      <x:c r="J258" s="196" t="n">
        <x:v>0.05</x:v>
      </x:c>
      <x:c r="K258" s="195" t="n">
        <x:f>H258*I258</x:f>
        <x:v>42044</x:v>
      </x:c>
      <x:c r="L258" s="195" t="n">
        <x:f>K258*(1-J258)</x:f>
        <x:v>39941.799999999996</x:v>
      </x:c>
      <x:c r="M258" s="195" t="n">
        <x:f>L258*(0.74-IF(E258="Healthy",0.04,IF(E258="Beverages",0.06,IF(E258="Desserts",0.05,IF(E258="North Indian",0.01,0)))))</x:f>
        <x:v>29157.513999999996</x:v>
      </x:c>
      <x:c r="N258" s="195" t="n">
        <x:f>L258-M258</x:f>
        <x:v>10784.286</x:v>
      </x:c>
      <x:c r="O258" s="195" t="n">
        <x:f>L258*0.13</x:f>
        <x:v>5192.433999999999</x:v>
      </x:c>
      <x:c r="P258" s="195" t="n">
        <x:f>N258-O258</x:f>
        <x:v>5591.852000000001</x:v>
      </x:c>
      <x:c r="Q258" s="195" t="n">
        <x:v>40269.697929441434</x:v>
      </x:c>
    </x:row>
    <x:row r="259">
      <x:c r="A259" s="192" t="str">
        <x:v>ZOM-0255</x:v>
      </x:c>
      <x:c r="B259" s="193" t="n">
        <x:v>45912</x:v>
      </x:c>
      <x:c r="C259" s="236" t="str">
        <x:v>North</x:v>
      </x:c>
      <x:c r="D259" s="192" t="str">
        <x:v>Noida</x:v>
      </x:c>
      <x:c r="E259" s="192" t="str">
        <x:v>South Indian</x:v>
      </x:c>
      <x:c r="F259" s="192" t="str">
        <x:v>Budget</x:v>
      </x:c>
      <x:c r="G259" s="192" t="str">
        <x:v>Budget Customer 58</x:v>
      </x:c>
      <x:c r="H259" s="194" t="n">
        <x:v>120</x:v>
      </x:c>
      <x:c r="I259" s="195" t="n">
        <x:v>411</x:v>
      </x:c>
      <x:c r="J259" s="196" t="n">
        <x:v>0.11</x:v>
      </x:c>
      <x:c r="K259" s="195" t="n">
        <x:f>H259*I259</x:f>
        <x:v>49320</x:v>
      </x:c>
      <x:c r="L259" s="195" t="n">
        <x:f>K259*(1-J259)</x:f>
        <x:v>43894.8</x:v>
      </x:c>
      <x:c r="M259" s="195" t="n">
        <x:f>L259*(0.74-IF(E259="Healthy",0.04,IF(E259="Beverages",0.06,IF(E259="Desserts",0.05,IF(E259="North Indian",0.01,0)))))</x:f>
        <x:v>32482.152000000002</x:v>
      </x:c>
      <x:c r="N259" s="195" t="n">
        <x:f>L259-M259</x:f>
        <x:v>11412.648000000001</x:v>
      </x:c>
      <x:c r="O259" s="195" t="n">
        <x:f>L259*0.13</x:f>
        <x:v>5706.3240000000005</x:v>
      </x:c>
      <x:c r="P259" s="195" t="n">
        <x:f>N259-O259</x:f>
        <x:v>5706.3240000000005</x:v>
      </x:c>
      <x:c r="Q259" s="195" t="n">
        <x:v>45039.10940245338</x:v>
      </x:c>
    </x:row>
    <x:row r="260">
      <x:c r="A260" s="192" t="str">
        <x:v>ZOM-0256</x:v>
      </x:c>
      <x:c r="B260" s="193" t="n">
        <x:v>45913</x:v>
      </x:c>
      <x:c r="C260" s="236" t="str">
        <x:v>North</x:v>
      </x:c>
      <x:c r="D260" s="192" t="str">
        <x:v>Delhi</x:v>
      </x:c>
      <x:c r="E260" s="192" t="str">
        <x:v>Chinese</x:v>
      </x:c>
      <x:c r="F260" s="192" t="str">
        <x:v>Repeat User</x:v>
      </x:c>
      <x:c r="G260" s="192" t="str">
        <x:v>Repeat User Customer 39</x:v>
      </x:c>
      <x:c r="H260" s="194" t="n">
        <x:v>122</x:v>
      </x:c>
      <x:c r="I260" s="195" t="n">
        <x:v>420</x:v>
      </x:c>
      <x:c r="J260" s="196" t="n">
        <x:v>0.05</x:v>
      </x:c>
      <x:c r="K260" s="195" t="n">
        <x:f>H260*I260</x:f>
        <x:v>51240</x:v>
      </x:c>
      <x:c r="L260" s="195" t="n">
        <x:f>K260*(1-J260)</x:f>
        <x:v>48678</x:v>
      </x:c>
      <x:c r="M260" s="195" t="n">
        <x:f>L260*(0.74-IF(E260="Healthy",0.04,IF(E260="Beverages",0.06,IF(E260="Desserts",0.05,IF(E260="North Indian",0.01,0)))))</x:f>
        <x:v>36021.72</x:v>
      </x:c>
      <x:c r="N260" s="195" t="n">
        <x:f>L260-M260</x:f>
        <x:v>12656.279999999999</x:v>
      </x:c>
      <x:c r="O260" s="195" t="n">
        <x:f>L260*0.13</x:f>
        <x:v>6328.14</x:v>
      </x:c>
      <x:c r="P260" s="195" t="n">
        <x:f>N260-O260</x:f>
        <x:v>6328.1399999999985</x:v>
      </x:c>
      <x:c r="Q260" s="195" t="n">
        <x:v>50127.63294592223</x:v>
      </x:c>
    </x:row>
    <x:row r="261">
      <x:c r="A261" s="192" t="str">
        <x:v>ZOM-0257</x:v>
      </x:c>
      <x:c r="B261" s="193" t="n">
        <x:v>45914</x:v>
      </x:c>
      <x:c r="C261" s="236" t="str">
        <x:v>West</x:v>
      </x:c>
      <x:c r="D261" s="192" t="str">
        <x:v>Nagpur</x:v>
      </x:c>
      <x:c r="E261" s="192" t="str">
        <x:v>Pizza</x:v>
      </x:c>
      <x:c r="F261" s="192" t="str">
        <x:v>Student</x:v>
      </x:c>
      <x:c r="G261" s="192" t="str">
        <x:v>Student Customer 26</x:v>
      </x:c>
      <x:c r="H261" s="194" t="n">
        <x:v>61</x:v>
      </x:c>
      <x:c r="I261" s="195" t="n">
        <x:v>734</x:v>
      </x:c>
      <x:c r="J261" s="196" t="n">
        <x:v>0.12</x:v>
      </x:c>
      <x:c r="K261" s="195" t="n">
        <x:f>H261*I261</x:f>
        <x:v>44774</x:v>
      </x:c>
      <x:c r="L261" s="195" t="n">
        <x:f>K261*(1-J261)</x:f>
        <x:v>39401.12</x:v>
      </x:c>
      <x:c r="M261" s="195" t="n">
        <x:f>L261*(0.74-IF(E261="Healthy",0.04,IF(E261="Beverages",0.06,IF(E261="Desserts",0.05,IF(E261="North Indian",0.01,0)))))</x:f>
        <x:v>29156.828800000003</x:v>
      </x:c>
      <x:c r="N261" s="195" t="n">
        <x:f>L261-M261</x:f>
        <x:v>10244.2912</x:v>
      </x:c>
      <x:c r="O261" s="195" t="n">
        <x:f>L261*0.13</x:f>
        <x:v>5122.145600000001</x:v>
      </x:c>
      <x:c r="P261" s="195" t="n">
        <x:f>N261-O261</x:f>
        <x:v>5122.145599999999</x:v>
      </x:c>
      <x:c r="Q261" s="195" t="n">
        <x:v>40293.066116093745</x:v>
      </x:c>
    </x:row>
    <x:row r="262">
      <x:c r="A262" s="192" t="str">
        <x:v>ZOM-0258</x:v>
      </x:c>
      <x:c r="B262" s="193" t="n">
        <x:v>45915</x:v>
      </x:c>
      <x:c r="C262" s="236" t="str">
        <x:v>South</x:v>
      </x:c>
      <x:c r="D262" s="192" t="str">
        <x:v>Bengaluru</x:v>
      </x:c>
      <x:c r="E262" s="192" t="str">
        <x:v>Desserts</x:v>
      </x:c>
      <x:c r="F262" s="192" t="str">
        <x:v>Budget</x:v>
      </x:c>
      <x:c r="G262" s="192" t="str">
        <x:v>Budget Customer 57</x:v>
      </x:c>
      <x:c r="H262" s="194" t="n">
        <x:v>84</x:v>
      </x:c>
      <x:c r="I262" s="195" t="n">
        <x:v>289</x:v>
      </x:c>
      <x:c r="J262" s="196" t="n">
        <x:v>0.08</x:v>
      </x:c>
      <x:c r="K262" s="195" t="n">
        <x:f>H262*I262</x:f>
        <x:v>24276</x:v>
      </x:c>
      <x:c r="L262" s="195" t="n">
        <x:f>K262*(1-J262)</x:f>
        <x:v>22333.920000000002</x:v>
      </x:c>
      <x:c r="M262" s="195" t="n">
        <x:f>L262*(0.74-IF(E262="Healthy",0.04,IF(E262="Beverages",0.06,IF(E262="Desserts",0.05,IF(E262="North Indian",0.01,0)))))</x:f>
        <x:v>15410.4048</x:v>
      </x:c>
      <x:c r="N262" s="195" t="n">
        <x:f>L262-M262</x:f>
        <x:v>6923.515200000002</x:v>
      </x:c>
      <x:c r="O262" s="195" t="n">
        <x:f>L262*0.13</x:f>
        <x:v>2903.4096000000004</x:v>
      </x:c>
      <x:c r="P262" s="195" t="n">
        <x:f>N262-O262</x:f>
        <x:v>4020.1056000000012</x:v>
      </x:c>
      <x:c r="Q262" s="195" t="n">
        <x:v>22524.237163788548</x:v>
      </x:c>
    </x:row>
    <x:row r="263">
      <x:c r="A263" s="192" t="str">
        <x:v>ZOM-0259</x:v>
      </x:c>
      <x:c r="B263" s="193" t="n">
        <x:v>45916</x:v>
      </x:c>
      <x:c r="C263" s="236" t="str">
        <x:v>Metro</x:v>
      </x:c>
      <x:c r="D263" s="192" t="str">
        <x:v>Bengaluru</x:v>
      </x:c>
      <x:c r="E263" s="192" t="str">
        <x:v>Beverages</x:v>
      </x:c>
      <x:c r="F263" s="192" t="str">
        <x:v>New User</x:v>
      </x:c>
      <x:c r="G263" s="192" t="str">
        <x:v>New User Customer 02</x:v>
      </x:c>
      <x:c r="H263" s="194" t="n">
        <x:v>150</x:v>
      </x:c>
      <x:c r="I263" s="195" t="n">
        <x:v>220</x:v>
      </x:c>
      <x:c r="J263" s="196" t="n">
        <x:v>0.08</x:v>
      </x:c>
      <x:c r="K263" s="195" t="n">
        <x:f>H263*I263</x:f>
        <x:v>33000</x:v>
      </x:c>
      <x:c r="L263" s="195" t="n">
        <x:f>K263*(1-J263)</x:f>
        <x:v>30360</x:v>
      </x:c>
      <x:c r="M263" s="195" t="n">
        <x:f>L263*(0.74-IF(E263="Healthy",0.04,IF(E263="Beverages",0.06,IF(E263="Desserts",0.05,IF(E263="North Indian",0.01,0)))))</x:f>
        <x:v>20644.8</x:v>
      </x:c>
      <x:c r="N263" s="195" t="n">
        <x:f>L263-M263</x:f>
        <x:v>9715.2</x:v>
      </x:c>
      <x:c r="O263" s="195" t="n">
        <x:f>L263*0.13</x:f>
        <x:v>3946.8</x:v>
      </x:c>
      <x:c r="P263" s="195" t="n">
        <x:f>N263-O263</x:f>
        <x:v>5768.400000000001</x:v>
      </x:c>
      <x:c r="Q263" s="195" t="n">
        <x:v>33166.60123373511</x:v>
      </x:c>
    </x:row>
    <x:row r="264">
      <x:c r="A264" s="192" t="str">
        <x:v>ZOM-0260</x:v>
      </x:c>
      <x:c r="B264" s="193" t="n">
        <x:v>45917</x:v>
      </x:c>
      <x:c r="C264" s="236" t="str">
        <x:v>West</x:v>
      </x:c>
      <x:c r="D264" s="192" t="str">
        <x:v>Mumbai</x:v>
      </x:c>
      <x:c r="E264" s="192" t="str">
        <x:v>Biryani</x:v>
      </x:c>
      <x:c r="F264" s="192" t="str">
        <x:v>New User</x:v>
      </x:c>
      <x:c r="G264" s="192" t="str">
        <x:v>New User Customer 27</x:v>
      </x:c>
      <x:c r="H264" s="194" t="n">
        <x:v>78</x:v>
      </x:c>
      <x:c r="I264" s="195" t="n">
        <x:v>565</x:v>
      </x:c>
      <x:c r="J264" s="196" t="n">
        <x:v>0.09</x:v>
      </x:c>
      <x:c r="K264" s="195" t="n">
        <x:f>H264*I264</x:f>
        <x:v>44070</x:v>
      </x:c>
      <x:c r="L264" s="195" t="n">
        <x:f>K264*(1-J264)</x:f>
        <x:v>40103.700000000004</x:v>
      </x:c>
      <x:c r="M264" s="195" t="n">
        <x:f>L264*(0.74-IF(E264="Healthy",0.04,IF(E264="Beverages",0.06,IF(E264="Desserts",0.05,IF(E264="North Indian",0.01,0)))))</x:f>
        <x:v>29676.738</x:v>
      </x:c>
      <x:c r="N264" s="195" t="n">
        <x:f>L264-M264</x:f>
        <x:v>10426.962000000003</x:v>
      </x:c>
      <x:c r="O264" s="195" t="n">
        <x:f>L264*0.13</x:f>
        <x:v>5213.481000000001</x:v>
      </x:c>
      <x:c r="P264" s="195" t="n">
        <x:f>N264-O264</x:f>
        <x:v>5213.4810000000025</x:v>
      </x:c>
      <x:c r="Q264" s="195" t="n">
        <x:v>42514.97008776074</x:v>
      </x:c>
    </x:row>
    <x:row r="265">
      <x:c r="A265" s="192" t="str">
        <x:v>ZOM-0261</x:v>
      </x:c>
      <x:c r="B265" s="193" t="n">
        <x:v>45918</x:v>
      </x:c>
      <x:c r="C265" s="236" t="str">
        <x:v>West</x:v>
      </x:c>
      <x:c r="D265" s="192" t="str">
        <x:v>Surat</x:v>
      </x:c>
      <x:c r="E265" s="192" t="str">
        <x:v>North Indian</x:v>
      </x:c>
      <x:c r="F265" s="192" t="str">
        <x:v>Gold User</x:v>
      </x:c>
      <x:c r="G265" s="192" t="str">
        <x:v>Gold User Customer 52</x:v>
      </x:c>
      <x:c r="H265" s="194" t="n">
        <x:v>178</x:v>
      </x:c>
      <x:c r="I265" s="195" t="n">
        <x:v>461</x:v>
      </x:c>
      <x:c r="J265" s="196" t="n">
        <x:v>0.009999999999999998</x:v>
      </x:c>
      <x:c r="K265" s="195" t="n">
        <x:f>H265*I265</x:f>
        <x:v>82058</x:v>
      </x:c>
      <x:c r="L265" s="195" t="n">
        <x:f>K265*(1-J265)</x:f>
        <x:v>81237.42</x:v>
      </x:c>
      <x:c r="M265" s="195" t="n">
        <x:f>L265*(0.74-IF(E265="Healthy",0.04,IF(E265="Beverages",0.06,IF(E265="Desserts",0.05,IF(E265="North Indian",0.01,0)))))</x:f>
        <x:v>59303.3166</x:v>
      </x:c>
      <x:c r="N265" s="195" t="n">
        <x:f>L265-M265</x:f>
        <x:v>21934.1034</x:v>
      </x:c>
      <x:c r="O265" s="195" t="n">
        <x:f>L265*0.13</x:f>
        <x:v>10560.8646</x:v>
      </x:c>
      <x:c r="P265" s="195" t="n">
        <x:f>N265-O265</x:f>
        <x:v>11373.2388</x:v>
      </x:c>
      <x:c r="Q265" s="195" t="n">
        <x:v>83218.28881915195</x:v>
      </x:c>
    </x:row>
    <x:row r="266">
      <x:c r="A266" s="192" t="str">
        <x:v>ZOM-0262</x:v>
      </x:c>
      <x:c r="B266" s="193" t="n">
        <x:v>45919</x:v>
      </x:c>
      <x:c r="C266" s="236" t="str">
        <x:v>North</x:v>
      </x:c>
      <x:c r="D266" s="192" t="str">
        <x:v>Gurugram</x:v>
      </x:c>
      <x:c r="E266" s="192" t="str">
        <x:v>South Indian</x:v>
      </x:c>
      <x:c r="F266" s="192" t="str">
        <x:v>Corporate</x:v>
      </x:c>
      <x:c r="G266" s="192" t="str">
        <x:v>Corporate Customer 06</x:v>
      </x:c>
      <x:c r="H266" s="194" t="n">
        <x:v>88</x:v>
      </x:c>
      <x:c r="I266" s="195" t="n">
        <x:v>343</x:v>
      </x:c>
      <x:c r="J266" s="196" t="n">
        <x:v>0.03</x:v>
      </x:c>
      <x:c r="K266" s="195" t="n">
        <x:f>H266*I266</x:f>
        <x:v>30184</x:v>
      </x:c>
      <x:c r="L266" s="195" t="n">
        <x:f>K266*(1-J266)</x:f>
        <x:v>29278.48</x:v>
      </x:c>
      <x:c r="M266" s="195" t="n">
        <x:f>L266*(0.74-IF(E266="Healthy",0.04,IF(E266="Beverages",0.06,IF(E266="Desserts",0.05,IF(E266="North Indian",0.01,0)))))</x:f>
        <x:v>21666.0752</x:v>
      </x:c>
      <x:c r="N266" s="195" t="n">
        <x:f>L266-M266</x:f>
        <x:v>7612.4048</x:v>
      </x:c>
      <x:c r="O266" s="195" t="n">
        <x:f>L266*0.13</x:f>
        <x:v>3806.2024</x:v>
      </x:c>
      <x:c r="P266" s="195" t="n">
        <x:f>N266-O266</x:f>
        <x:v>3806.2024</x:v>
      </x:c>
      <x:c r="Q266" s="195" t="n">
        <x:v>29481.927762875483</x:v>
      </x:c>
    </x:row>
    <x:row r="267">
      <x:c r="A267" s="192" t="str">
        <x:v>ZOM-0263</x:v>
      </x:c>
      <x:c r="B267" s="193" t="n">
        <x:v>45920</x:v>
      </x:c>
      <x:c r="C267" s="236" t="str">
        <x:v>Metro</x:v>
      </x:c>
      <x:c r="D267" s="192" t="str">
        <x:v>Delhi</x:v>
      </x:c>
      <x:c r="E267" s="192" t="str">
        <x:v>South Indian</x:v>
      </x:c>
      <x:c r="F267" s="192" t="str">
        <x:v>Corporate</x:v>
      </x:c>
      <x:c r="G267" s="192" t="str">
        <x:v>Corporate Customer 11</x:v>
      </x:c>
      <x:c r="H267" s="194" t="n">
        <x:v>140</x:v>
      </x:c>
      <x:c r="I267" s="195" t="n">
        <x:v>398</x:v>
      </x:c>
      <x:c r="J267" s="196" t="n">
        <x:v>0.02</x:v>
      </x:c>
      <x:c r="K267" s="195" t="n">
        <x:f>H267*I267</x:f>
        <x:v>55720</x:v>
      </x:c>
      <x:c r="L267" s="195" t="n">
        <x:f>K267*(1-J267)</x:f>
        <x:v>54605.6</x:v>
      </x:c>
      <x:c r="M267" s="195" t="n">
        <x:f>L267*(0.74-IF(E267="Healthy",0.04,IF(E267="Beverages",0.06,IF(E267="Desserts",0.05,IF(E267="North Indian",0.01,0)))))</x:f>
        <x:v>40408.144</x:v>
      </x:c>
      <x:c r="N267" s="195" t="n">
        <x:f>L267-M267</x:f>
        <x:v>14197.455999999998</x:v>
      </x:c>
      <x:c r="O267" s="195" t="n">
        <x:f>L267*0.13</x:f>
        <x:v>7098.728</x:v>
      </x:c>
      <x:c r="P267" s="195" t="n">
        <x:f>N267-O267</x:f>
        <x:v>7098.727999999998</x:v>
      </x:c>
      <x:c r="Q267" s="195" t="n">
        <x:v>59202.29686047751</x:v>
      </x:c>
    </x:row>
    <x:row r="268">
      <x:c r="A268" s="192" t="str">
        <x:v>ZOM-0264</x:v>
      </x:c>
      <x:c r="B268" s="193" t="n">
        <x:v>45921</x:v>
      </x:c>
      <x:c r="C268" s="236" t="str">
        <x:v>West</x:v>
      </x:c>
      <x:c r="D268" s="192" t="str">
        <x:v>Ahmedabad</x:v>
      </x:c>
      <x:c r="E268" s="192" t="str">
        <x:v>Chinese</x:v>
      </x:c>
      <x:c r="F268" s="192" t="str">
        <x:v>Budget</x:v>
      </x:c>
      <x:c r="G268" s="192" t="str">
        <x:v>Budget Customer 08</x:v>
      </x:c>
      <x:c r="H268" s="194" t="n">
        <x:v>90</x:v>
      </x:c>
      <x:c r="I268" s="195" t="n">
        <x:v>392</x:v>
      </x:c>
      <x:c r="J268" s="196" t="n">
        <x:v>0.1</x:v>
      </x:c>
      <x:c r="K268" s="195" t="n">
        <x:f>H268*I268</x:f>
        <x:v>35280</x:v>
      </x:c>
      <x:c r="L268" s="195" t="n">
        <x:f>K268*(1-J268)</x:f>
        <x:v>31752</x:v>
      </x:c>
      <x:c r="M268" s="195" t="n">
        <x:f>L268*(0.74-IF(E268="Healthy",0.04,IF(E268="Beverages",0.06,IF(E268="Desserts",0.05,IF(E268="North Indian",0.01,0)))))</x:f>
        <x:v>23496.48</x:v>
      </x:c>
      <x:c r="N268" s="195" t="n">
        <x:f>L268-M268</x:f>
        <x:v>8255.52</x:v>
      </x:c>
      <x:c r="O268" s="195" t="n">
        <x:f>L268*0.13</x:f>
        <x:v>4127.76</x:v>
      </x:c>
      <x:c r="P268" s="195" t="n">
        <x:f>N268-O268</x:f>
        <x:v>4127.76</x:v>
      </x:c>
      <x:c r="Q268" s="195" t="n">
        <x:v>34544.66144568572</x:v>
      </x:c>
    </x:row>
    <x:row r="269">
      <x:c r="A269" s="192" t="str">
        <x:v>ZOM-0265</x:v>
      </x:c>
      <x:c r="B269" s="193" t="n">
        <x:v>45922</x:v>
      </x:c>
      <x:c r="C269" s="236" t="str">
        <x:v>Central</x:v>
      </x:c>
      <x:c r="D269" s="192" t="str">
        <x:v>Bhopal</x:v>
      </x:c>
      <x:c r="E269" s="192" t="str">
        <x:v>Pizza</x:v>
      </x:c>
      <x:c r="F269" s="192" t="str">
        <x:v>Gold User</x:v>
      </x:c>
      <x:c r="G269" s="192" t="str">
        <x:v>Gold User Customer 55</x:v>
      </x:c>
      <x:c r="H269" s="194" t="n">
        <x:v>129</x:v>
      </x:c>
      <x:c r="I269" s="195" t="n">
        <x:v>525</x:v>
      </x:c>
      <x:c r="J269" s="196" t="n">
        <x:v>0.009999999999999998</x:v>
      </x:c>
      <x:c r="K269" s="195" t="n">
        <x:f>H269*I269</x:f>
        <x:v>67725</x:v>
      </x:c>
      <x:c r="L269" s="195" t="n">
        <x:f>K269*(1-J269)</x:f>
        <x:v>67047.75</x:v>
      </x:c>
      <x:c r="M269" s="195" t="n">
        <x:f>L269*(0.74-IF(E269="Healthy",0.04,IF(E269="Beverages",0.06,IF(E269="Desserts",0.05,IF(E269="North Indian",0.01,0)))))</x:f>
        <x:v>49615.335</x:v>
      </x:c>
      <x:c r="N269" s="195" t="n">
        <x:f>L269-M269</x:f>
        <x:v>17432.415</x:v>
      </x:c>
      <x:c r="O269" s="195" t="n">
        <x:f>L269*0.13</x:f>
        <x:v>8716.2075</x:v>
      </x:c>
      <x:c r="P269" s="195" t="n">
        <x:f>N269-O269</x:f>
        <x:v>8716.2075</x:v>
      </x:c>
      <x:c r="Q269" s="195" t="n">
        <x:v>67493.7981172782</x:v>
      </x:c>
    </x:row>
    <x:row r="270">
      <x:c r="A270" s="192" t="str">
        <x:v>ZOM-0266</x:v>
      </x:c>
      <x:c r="B270" s="193" t="n">
        <x:v>45923</x:v>
      </x:c>
      <x:c r="C270" s="236" t="str">
        <x:v>West</x:v>
      </x:c>
      <x:c r="D270" s="192" t="str">
        <x:v>Ahmedabad</x:v>
      </x:c>
      <x:c r="E270" s="192" t="str">
        <x:v>Biryani</x:v>
      </x:c>
      <x:c r="F270" s="192" t="str">
        <x:v>Budget</x:v>
      </x:c>
      <x:c r="G270" s="192" t="str">
        <x:v>Budget Customer 56</x:v>
      </x:c>
      <x:c r="H270" s="194" t="n">
        <x:v>125</x:v>
      </x:c>
      <x:c r="I270" s="195" t="n">
        <x:v>511</x:v>
      </x:c>
      <x:c r="J270" s="196" t="n">
        <x:v>0.08</x:v>
      </x:c>
      <x:c r="K270" s="195" t="n">
        <x:f>H270*I270</x:f>
        <x:v>63875</x:v>
      </x:c>
      <x:c r="L270" s="195" t="n">
        <x:f>K270*(1-J270)</x:f>
        <x:v>58765</x:v>
      </x:c>
      <x:c r="M270" s="195" t="n">
        <x:f>L270*(0.74-IF(E270="Healthy",0.04,IF(E270="Beverages",0.06,IF(E270="Desserts",0.05,IF(E270="North Indian",0.01,0)))))</x:f>
        <x:v>43486.1</x:v>
      </x:c>
      <x:c r="N270" s="195" t="n">
        <x:f>L270-M270</x:f>
        <x:v>15278.900000000001</x:v>
      </x:c>
      <x:c r="O270" s="195" t="n">
        <x:f>L270*0.13</x:f>
        <x:v>7639.45</x:v>
      </x:c>
      <x:c r="P270" s="195" t="n">
        <x:f>N270-O270</x:f>
        <x:v>7639.450000000002</x:v>
      </x:c>
      <x:c r="Q270" s="195" t="n">
        <x:v>59075.54651443588</x:v>
      </x:c>
    </x:row>
    <x:row r="271">
      <x:c r="A271" s="192" t="str">
        <x:v>ZOM-0267</x:v>
      </x:c>
      <x:c r="B271" s="193" t="n">
        <x:v>45924</x:v>
      </x:c>
      <x:c r="C271" s="236" t="str">
        <x:v>North</x:v>
      </x:c>
      <x:c r="D271" s="192" t="str">
        <x:v>Delhi</x:v>
      </x:c>
      <x:c r="E271" s="192" t="str">
        <x:v>South Indian</x:v>
      </x:c>
      <x:c r="F271" s="192" t="str">
        <x:v>Repeat User</x:v>
      </x:c>
      <x:c r="G271" s="192" t="str">
        <x:v>Repeat User Customer 27</x:v>
      </x:c>
      <x:c r="H271" s="194" t="n">
        <x:v>87</x:v>
      </x:c>
      <x:c r="I271" s="195" t="n">
        <x:v>323</x:v>
      </x:c>
      <x:c r="J271" s="196" t="n">
        <x:v>0.030000000000000002</x:v>
      </x:c>
      <x:c r="K271" s="195" t="n">
        <x:f>H271*I271</x:f>
        <x:v>28101</x:v>
      </x:c>
      <x:c r="L271" s="195" t="n">
        <x:f>K271*(1-J271)</x:f>
        <x:v>27257.969999999998</x:v>
      </x:c>
      <x:c r="M271" s="195" t="n">
        <x:f>L271*(0.74-IF(E271="Healthy",0.04,IF(E271="Beverages",0.06,IF(E271="Desserts",0.05,IF(E271="North Indian",0.01,0)))))</x:f>
        <x:v>20170.8978</x:v>
      </x:c>
      <x:c r="N271" s="195" t="n">
        <x:f>L271-M271</x:f>
        <x:v>7087.072199999999</x:v>
      </x:c>
      <x:c r="O271" s="195" t="n">
        <x:f>L271*0.13</x:f>
        <x:v>3543.5361</x:v>
      </x:c>
      <x:c r="P271" s="195" t="n">
        <x:f>N271-O271</x:f>
        <x:v>3543.536099999999</x:v>
      </x:c>
      <x:c r="Q271" s="195" t="n">
        <x:v>29680.655630706508</x:v>
      </x:c>
    </x:row>
    <x:row r="272">
      <x:c r="A272" s="192" t="str">
        <x:v>ZOM-0268</x:v>
      </x:c>
      <x:c r="B272" s="193" t="n">
        <x:v>45925</x:v>
      </x:c>
      <x:c r="C272" s="236" t="str">
        <x:v>South</x:v>
      </x:c>
      <x:c r="D272" s="192" t="str">
        <x:v>Hyderabad</x:v>
      </x:c>
      <x:c r="E272" s="192" t="str">
        <x:v>South Indian</x:v>
      </x:c>
      <x:c r="F272" s="192" t="str">
        <x:v>Budget</x:v>
      </x:c>
      <x:c r="G272" s="192" t="str">
        <x:v>Budget Customer 15</x:v>
      </x:c>
      <x:c r="H272" s="194" t="n">
        <x:v>88</x:v>
      </x:c>
      <x:c r="I272" s="195" t="n">
        <x:v>423</x:v>
      </x:c>
      <x:c r="J272" s="196" t="n">
        <x:v>0.1</x:v>
      </x:c>
      <x:c r="K272" s="195" t="n">
        <x:f>H272*I272</x:f>
        <x:v>37224</x:v>
      </x:c>
      <x:c r="L272" s="195" t="n">
        <x:f>K272*(1-J272)</x:f>
        <x:v>33501.6</x:v>
      </x:c>
      <x:c r="M272" s="195" t="n">
        <x:f>L272*(0.74-IF(E272="Healthy",0.04,IF(E272="Beverages",0.06,IF(E272="Desserts",0.05,IF(E272="North Indian",0.01,0)))))</x:f>
        <x:v>24791.183999999997</x:v>
      </x:c>
      <x:c r="N272" s="195" t="n">
        <x:f>L272-M272</x:f>
        <x:v>8710.416000000001</x:v>
      </x:c>
      <x:c r="O272" s="195" t="n">
        <x:f>L272*0.13</x:f>
        <x:v>4355.208</x:v>
      </x:c>
      <x:c r="P272" s="195" t="n">
        <x:f>N272-O272</x:f>
        <x:v>4355.208000000001</x:v>
      </x:c>
      <x:c r="Q272" s="195" t="n">
        <x:v>33713.352152382664</x:v>
      </x:c>
    </x:row>
    <x:row r="273">
      <x:c r="A273" s="192" t="str">
        <x:v>ZOM-0269</x:v>
      </x:c>
      <x:c r="B273" s="193" t="n">
        <x:v>45926</x:v>
      </x:c>
      <x:c r="C273" s="236" t="str">
        <x:v>Central</x:v>
      </x:c>
      <x:c r="D273" s="192" t="str">
        <x:v>Bhopal</x:v>
      </x:c>
      <x:c r="E273" s="192" t="str">
        <x:v>Snacks</x:v>
      </x:c>
      <x:c r="F273" s="192" t="str">
        <x:v>New User</x:v>
      </x:c>
      <x:c r="G273" s="192" t="str">
        <x:v>New User Customer 13</x:v>
      </x:c>
      <x:c r="H273" s="194" t="n">
        <x:v>103</x:v>
      </x:c>
      <x:c r="I273" s="195" t="n">
        <x:v>286</x:v>
      </x:c>
      <x:c r="J273" s="196" t="n">
        <x:v>0.08</x:v>
      </x:c>
      <x:c r="K273" s="195" t="n">
        <x:f>H273*I273</x:f>
        <x:v>29458</x:v>
      </x:c>
      <x:c r="L273" s="195" t="n">
        <x:f>K273*(1-J273)</x:f>
        <x:v>27101.36</x:v>
      </x:c>
      <x:c r="M273" s="195" t="n">
        <x:f>L273*(0.74-IF(E273="Healthy",0.04,IF(E273="Beverages",0.06,IF(E273="Desserts",0.05,IF(E273="North Indian",0.01,0)))))</x:f>
        <x:v>20055.0064</x:v>
      </x:c>
      <x:c r="N273" s="195" t="n">
        <x:f>L273-M273</x:f>
        <x:v>7046.353600000002</x:v>
      </x:c>
      <x:c r="O273" s="195" t="n">
        <x:f>L273*0.13</x:f>
        <x:v>3523.1768</x:v>
      </x:c>
      <x:c r="P273" s="195" t="n">
        <x:f>N273-O273</x:f>
        <x:v>3523.176800000002</x:v>
      </x:c>
      <x:c r="Q273" s="195" t="n">
        <x:v>27127.27705297797</x:v>
      </x:c>
    </x:row>
    <x:row r="274">
      <x:c r="A274" s="192" t="str">
        <x:v>ZOM-0270</x:v>
      </x:c>
      <x:c r="B274" s="193" t="n">
        <x:v>45927</x:v>
      </x:c>
      <x:c r="C274" s="236" t="str">
        <x:v>South</x:v>
      </x:c>
      <x:c r="D274" s="192" t="str">
        <x:v>Chennai</x:v>
      </x:c>
      <x:c r="E274" s="192" t="str">
        <x:v>Desserts</x:v>
      </x:c>
      <x:c r="F274" s="192" t="str">
        <x:v>Repeat User</x:v>
      </x:c>
      <x:c r="G274" s="192" t="str">
        <x:v>Repeat User Customer 35</x:v>
      </x:c>
      <x:c r="H274" s="194" t="n">
        <x:v>122</x:v>
      </x:c>
      <x:c r="I274" s="195" t="n">
        <x:v>301</x:v>
      </x:c>
      <x:c r="J274" s="196" t="n">
        <x:v>0.060000000000000005</x:v>
      </x:c>
      <x:c r="K274" s="195" t="n">
        <x:f>H274*I274</x:f>
        <x:v>36722</x:v>
      </x:c>
      <x:c r="L274" s="195" t="n">
        <x:f>K274*(1-J274)</x:f>
        <x:v>34518.68</x:v>
      </x:c>
      <x:c r="M274" s="195" t="n">
        <x:f>L274*(0.74-IF(E274="Healthy",0.04,IF(E274="Beverages",0.06,IF(E274="Desserts",0.05,IF(E274="North Indian",0.01,0)))))</x:f>
        <x:v>23817.889199999998</x:v>
      </x:c>
      <x:c r="N274" s="195" t="n">
        <x:f>L274-M274</x:f>
        <x:v>10700.790800000002</x:v>
      </x:c>
      <x:c r="O274" s="195" t="n">
        <x:f>L274*0.13</x:f>
        <x:v>4487.4284</x:v>
      </x:c>
      <x:c r="P274" s="195" t="n">
        <x:f>N274-O274</x:f>
        <x:v>6213.362400000003</x:v>
      </x:c>
      <x:c r="Q274" s="195" t="n">
        <x:v>37552.7201039162</x:v>
      </x:c>
    </x:row>
    <x:row r="275">
      <x:c r="A275" s="192" t="str">
        <x:v>ZOM-0271</x:v>
      </x:c>
      <x:c r="B275" s="193" t="n">
        <x:v>45928</x:v>
      </x:c>
      <x:c r="C275" s="236" t="str">
        <x:v>Central</x:v>
      </x:c>
      <x:c r="D275" s="192" t="str">
        <x:v>Indore</x:v>
      </x:c>
      <x:c r="E275" s="192" t="str">
        <x:v>Biryani</x:v>
      </x:c>
      <x:c r="F275" s="192" t="str">
        <x:v>Student</x:v>
      </x:c>
      <x:c r="G275" s="192" t="str">
        <x:v>Student Customer 22</x:v>
      </x:c>
      <x:c r="H275" s="194" t="n">
        <x:v>48</x:v>
      </x:c>
      <x:c r="I275" s="195" t="n">
        <x:v>423</x:v>
      </x:c>
      <x:c r="J275" s="196" t="n">
        <x:v>0.12</x:v>
      </x:c>
      <x:c r="K275" s="195" t="n">
        <x:f>H275*I275</x:f>
        <x:v>20304</x:v>
      </x:c>
      <x:c r="L275" s="195" t="n">
        <x:f>K275*(1-J275)</x:f>
        <x:v>17867.52</x:v>
      </x:c>
      <x:c r="M275" s="195" t="n">
        <x:f>L275*(0.74-IF(E275="Healthy",0.04,IF(E275="Beverages",0.06,IF(E275="Desserts",0.05,IF(E275="North Indian",0.01,0)))))</x:f>
        <x:v>13221.9648</x:v>
      </x:c>
      <x:c r="N275" s="195" t="n">
        <x:f>L275-M275</x:f>
        <x:v>4645.555200000001</x:v>
      </x:c>
      <x:c r="O275" s="195" t="n">
        <x:f>L275*0.13</x:f>
        <x:v>2322.7776000000003</x:v>
      </x:c>
      <x:c r="P275" s="195" t="n">
        <x:f>N275-O275</x:f>
        <x:v>2322.7776000000003</x:v>
      </x:c>
      <x:c r="Q275" s="195" t="n">
        <x:v>17888.09227674966</x:v>
      </x:c>
    </x:row>
    <x:row r="276">
      <x:c r="A276" s="192" t="str">
        <x:v>ZOM-0272</x:v>
      </x:c>
      <x:c r="B276" s="193" t="n">
        <x:v>45929</x:v>
      </x:c>
      <x:c r="C276" s="236" t="str">
        <x:v>North</x:v>
      </x:c>
      <x:c r="D276" s="192" t="str">
        <x:v>Jaipur</x:v>
      </x:c>
      <x:c r="E276" s="192" t="str">
        <x:v>Healthy</x:v>
      </x:c>
      <x:c r="F276" s="192" t="str">
        <x:v>Budget</x:v>
      </x:c>
      <x:c r="G276" s="192" t="str">
        <x:v>Budget Customer 10</x:v>
      </x:c>
      <x:c r="H276" s="194" t="n">
        <x:v>66</x:v>
      </x:c>
      <x:c r="I276" s="195" t="n">
        <x:v>354</x:v>
      </x:c>
      <x:c r="J276" s="196" t="n">
        <x:v>0.1</x:v>
      </x:c>
      <x:c r="K276" s="195" t="n">
        <x:f>H276*I276</x:f>
        <x:v>23364</x:v>
      </x:c>
      <x:c r="L276" s="195" t="n">
        <x:f>K276*(1-J276)</x:f>
        <x:v>21027.600000000002</x:v>
      </x:c>
      <x:c r="M276" s="195" t="n">
        <x:f>L276*(0.74-IF(E276="Healthy",0.04,IF(E276="Beverages",0.06,IF(E276="Desserts",0.05,IF(E276="North Indian",0.01,0)))))</x:f>
        <x:v>14719.32</x:v>
      </x:c>
      <x:c r="N276" s="195" t="n">
        <x:f>L276-M276</x:f>
        <x:v>6308.2800000000025</x:v>
      </x:c>
      <x:c r="O276" s="195" t="n">
        <x:f>L276*0.13</x:f>
        <x:v>2733.588</x:v>
      </x:c>
      <x:c r="P276" s="195" t="n">
        <x:f>N276-O276</x:f>
        <x:v>3574.6920000000023</x:v>
      </x:c>
      <x:c r="Q276" s="195" t="n">
        <x:v>23481.670390827356</x:v>
      </x:c>
    </x:row>
    <x:row r="277">
      <x:c r="A277" s="192" t="str">
        <x:v>ZOM-0273</x:v>
      </x:c>
      <x:c r="B277" s="193" t="n">
        <x:v>45930</x:v>
      </x:c>
      <x:c r="C277" s="236" t="str">
        <x:v>East</x:v>
      </x:c>
      <x:c r="D277" s="192" t="str">
        <x:v>Kolkata</x:v>
      </x:c>
      <x:c r="E277" s="192" t="str">
        <x:v>North Indian</x:v>
      </x:c>
      <x:c r="F277" s="192" t="str">
        <x:v>Repeat User</x:v>
      </x:c>
      <x:c r="G277" s="192" t="str">
        <x:v>Repeat User Customer 33</x:v>
      </x:c>
      <x:c r="H277" s="194" t="n">
        <x:v>121</x:v>
      </x:c>
      <x:c r="I277" s="195" t="n">
        <x:v>519</x:v>
      </x:c>
      <x:c r="J277" s="196" t="n">
        <x:v>0.05</x:v>
      </x:c>
      <x:c r="K277" s="195" t="n">
        <x:f>H277*I277</x:f>
        <x:v>62799</x:v>
      </x:c>
      <x:c r="L277" s="195" t="n">
        <x:f>K277*(1-J277)</x:f>
        <x:v>59659.049999999996</x:v>
      </x:c>
      <x:c r="M277" s="195" t="n">
        <x:f>L277*(0.74-IF(E277="Healthy",0.04,IF(E277="Beverages",0.06,IF(E277="Desserts",0.05,IF(E277="North Indian",0.01,0)))))</x:f>
        <x:v>43551.106499999994</x:v>
      </x:c>
      <x:c r="N277" s="195" t="n">
        <x:f>L277-M277</x:f>
        <x:v>16107.943500000001</x:v>
      </x:c>
      <x:c r="O277" s="195" t="n">
        <x:f>L277*0.13</x:f>
        <x:v>7755.6765</x:v>
      </x:c>
      <x:c r="P277" s="195" t="n">
        <x:f>N277-O277</x:f>
        <x:v>8352.267000000002</x:v>
      </x:c>
      <x:c r="Q277" s="195" t="n">
        <x:v>63816.83686766064</x:v>
      </x:c>
    </x:row>
    <x:row r="278">
      <x:c r="A278" s="192" t="str">
        <x:v>ZOM-0274</x:v>
      </x:c>
      <x:c r="B278" s="193" t="n">
        <x:v>45931</x:v>
      </x:c>
      <x:c r="C278" s="236" t="str">
        <x:v>North</x:v>
      </x:c>
      <x:c r="D278" s="192" t="str">
        <x:v>Jaipur</x:v>
      </x:c>
      <x:c r="E278" s="192" t="str">
        <x:v>North Indian</x:v>
      </x:c>
      <x:c r="F278" s="192" t="str">
        <x:v>Corporate</x:v>
      </x:c>
      <x:c r="G278" s="192" t="str">
        <x:v>Corporate Customer 52</x:v>
      </x:c>
      <x:c r="H278" s="194" t="n">
        <x:v>151</x:v>
      </x:c>
      <x:c r="I278" s="195" t="n">
        <x:v>575</x:v>
      </x:c>
      <x:c r="J278" s="196" t="n">
        <x:v>0.02</x:v>
      </x:c>
      <x:c r="K278" s="195" t="n">
        <x:f>H278*I278</x:f>
        <x:v>86825</x:v>
      </x:c>
      <x:c r="L278" s="195" t="n">
        <x:f>K278*(1-J278)</x:f>
        <x:v>85088.5</x:v>
      </x:c>
      <x:c r="M278" s="195" t="n">
        <x:f>L278*(0.74-IF(E278="Healthy",0.04,IF(E278="Beverages",0.06,IF(E278="Desserts",0.05,IF(E278="North Indian",0.01,0)))))</x:f>
        <x:v>62114.604999999996</x:v>
      </x:c>
      <x:c r="N278" s="195" t="n">
        <x:f>L278-M278</x:f>
        <x:v>22973.895000000004</x:v>
      </x:c>
      <x:c r="O278" s="195" t="n">
        <x:f>L278*0.13</x:f>
        <x:v>11061.505000000001</x:v>
      </x:c>
      <x:c r="P278" s="195" t="n">
        <x:f>N278-O278</x:f>
        <x:v>11912.390000000003</x:v>
      </x:c>
      <x:c r="Q278" s="195" t="n">
        <x:v>88304.9363318612</x:v>
      </x:c>
    </x:row>
    <x:row r="279">
      <x:c r="A279" s="192" t="str">
        <x:v>ZOM-0275</x:v>
      </x:c>
      <x:c r="B279" s="193" t="n">
        <x:v>45932</x:v>
      </x:c>
      <x:c r="C279" s="236" t="str">
        <x:v>South</x:v>
      </x:c>
      <x:c r="D279" s="192" t="str">
        <x:v>Chennai</x:v>
      </x:c>
      <x:c r="E279" s="192" t="str">
        <x:v>Pizza</x:v>
      </x:c>
      <x:c r="F279" s="192" t="str">
        <x:v>Repeat User</x:v>
      </x:c>
      <x:c r="G279" s="192" t="str">
        <x:v>Repeat User Customer 11</x:v>
      </x:c>
      <x:c r="H279" s="194" t="n">
        <x:v>88</x:v>
      </x:c>
      <x:c r="I279" s="195" t="n">
        <x:v>760</x:v>
      </x:c>
      <x:c r="J279" s="196" t="n">
        <x:v>0.05</x:v>
      </x:c>
      <x:c r="K279" s="195" t="n">
        <x:f>H279*I279</x:f>
        <x:v>66880</x:v>
      </x:c>
      <x:c r="L279" s="195" t="n">
        <x:f>K279*(1-J279)</x:f>
        <x:v>63536</x:v>
      </x:c>
      <x:c r="M279" s="195" t="n">
        <x:f>L279*(0.74-IF(E279="Healthy",0.04,IF(E279="Beverages",0.06,IF(E279="Desserts",0.05,IF(E279="North Indian",0.01,0)))))</x:f>
        <x:v>47016.64</x:v>
      </x:c>
      <x:c r="N279" s="195" t="n">
        <x:f>L279-M279</x:f>
        <x:v>16519.36</x:v>
      </x:c>
      <x:c r="O279" s="195" t="n">
        <x:f>L279*0.13</x:f>
        <x:v>8259.68</x:v>
      </x:c>
      <x:c r="P279" s="195" t="n">
        <x:f>N279-O279</x:f>
        <x:v>8259.68</x:v>
      </x:c>
      <x:c r="Q279" s="195" t="n">
        <x:v>64720.89977465487</x:v>
      </x:c>
    </x:row>
    <x:row r="280">
      <x:c r="A280" s="192" t="str">
        <x:v>ZOM-0276</x:v>
      </x:c>
      <x:c r="B280" s="193" t="n">
        <x:v>45933</x:v>
      </x:c>
      <x:c r="C280" s="236" t="str">
        <x:v>West</x:v>
      </x:c>
      <x:c r="D280" s="192" t="str">
        <x:v>Ahmedabad</x:v>
      </x:c>
      <x:c r="E280" s="192" t="str">
        <x:v>South Indian</x:v>
      </x:c>
      <x:c r="F280" s="192" t="str">
        <x:v>Gold User</x:v>
      </x:c>
      <x:c r="G280" s="192" t="str">
        <x:v>Gold User Customer 44</x:v>
      </x:c>
      <x:c r="H280" s="194" t="n">
        <x:v>123</x:v>
      </x:c>
      <x:c r="I280" s="195" t="n">
        <x:v>365</x:v>
      </x:c>
      <x:c r="J280" s="196" t="n">
        <x:v>0.04</x:v>
      </x:c>
      <x:c r="K280" s="195" t="n">
        <x:f>H280*I280</x:f>
        <x:v>44895</x:v>
      </x:c>
      <x:c r="L280" s="195" t="n">
        <x:f>K280*(1-J280)</x:f>
        <x:v>43099.2</x:v>
      </x:c>
      <x:c r="M280" s="195" t="n">
        <x:f>L280*(0.74-IF(E280="Healthy",0.04,IF(E280="Beverages",0.06,IF(E280="Desserts",0.05,IF(E280="North Indian",0.01,0)))))</x:f>
        <x:v>31893.407999999996</x:v>
      </x:c>
      <x:c r="N280" s="195" t="n">
        <x:f>L280-M280</x:f>
        <x:v>11205.792000000001</x:v>
      </x:c>
      <x:c r="O280" s="195" t="n">
        <x:f>L280*0.13</x:f>
        <x:v>5602.896</x:v>
      </x:c>
      <x:c r="P280" s="195" t="n">
        <x:f>N280-O280</x:f>
        <x:v>5602.896000000002</x:v>
      </x:c>
      <x:c r="Q280" s="195" t="n">
        <x:v>43914.37159910665</x:v>
      </x:c>
    </x:row>
    <x:row r="281">
      <x:c r="A281" s="192" t="str">
        <x:v>ZOM-0277</x:v>
      </x:c>
      <x:c r="B281" s="193" t="n">
        <x:v>45934</x:v>
      </x:c>
      <x:c r="C281" s="236" t="str">
        <x:v>South</x:v>
      </x:c>
      <x:c r="D281" s="192" t="str">
        <x:v>Coimbatore</x:v>
      </x:c>
      <x:c r="E281" s="192" t="str">
        <x:v>North Indian</x:v>
      </x:c>
      <x:c r="F281" s="192" t="str">
        <x:v>Budget</x:v>
      </x:c>
      <x:c r="G281" s="192" t="str">
        <x:v>Budget Customer 20</x:v>
      </x:c>
      <x:c r="H281" s="194" t="n">
        <x:v>100</x:v>
      </x:c>
      <x:c r="I281" s="195" t="n">
        <x:v>460</x:v>
      </x:c>
      <x:c r="J281" s="196" t="n">
        <x:v>0.1</x:v>
      </x:c>
      <x:c r="K281" s="195" t="n">
        <x:f>H281*I281</x:f>
        <x:v>46000</x:v>
      </x:c>
      <x:c r="L281" s="195" t="n">
        <x:f>K281*(1-J281)</x:f>
        <x:v>41400</x:v>
      </x:c>
      <x:c r="M281" s="195" t="n">
        <x:f>L281*(0.74-IF(E281="Healthy",0.04,IF(E281="Beverages",0.06,IF(E281="Desserts",0.05,IF(E281="North Indian",0.01,0)))))</x:f>
        <x:v>30222</x:v>
      </x:c>
      <x:c r="N281" s="195" t="n">
        <x:f>L281-M281</x:f>
        <x:v>11178</x:v>
      </x:c>
      <x:c r="O281" s="195" t="n">
        <x:f>L281*0.13</x:f>
        <x:v>5382</x:v>
      </x:c>
      <x:c r="P281" s="195" t="n">
        <x:f>N281-O281</x:f>
        <x:v>5796</x:v>
      </x:c>
      <x:c r="Q281" s="195" t="n">
        <x:v>41643.18666818922</x:v>
      </x:c>
    </x:row>
    <x:row r="282">
      <x:c r="A282" s="192" t="str">
        <x:v>ZOM-0278</x:v>
      </x:c>
      <x:c r="B282" s="193" t="n">
        <x:v>45935</x:v>
      </x:c>
      <x:c r="C282" s="236" t="str">
        <x:v>South</x:v>
      </x:c>
      <x:c r="D282" s="192" t="str">
        <x:v>Hyderabad</x:v>
      </x:c>
      <x:c r="E282" s="192" t="str">
        <x:v>North Indian</x:v>
      </x:c>
      <x:c r="F282" s="192" t="str">
        <x:v>Repeat User</x:v>
      </x:c>
      <x:c r="G282" s="192" t="str">
        <x:v>Repeat User Customer 08</x:v>
      </x:c>
      <x:c r="H282" s="194" t="n">
        <x:v>141</x:v>
      </x:c>
      <x:c r="I282" s="195" t="n">
        <x:v>551</x:v>
      </x:c>
      <x:c r="J282" s="196" t="n">
        <x:v>0.05</x:v>
      </x:c>
      <x:c r="K282" s="195" t="n">
        <x:f>H282*I282</x:f>
        <x:v>77691</x:v>
      </x:c>
      <x:c r="L282" s="195" t="n">
        <x:f>K282*(1-J282)</x:f>
        <x:v>73806.45</x:v>
      </x:c>
      <x:c r="M282" s="195" t="n">
        <x:f>L282*(0.74-IF(E282="Healthy",0.04,IF(E282="Beverages",0.06,IF(E282="Desserts",0.05,IF(E282="North Indian",0.01,0)))))</x:f>
        <x:v>53878.70849999999</x:v>
      </x:c>
      <x:c r="N282" s="195" t="n">
        <x:f>L282-M282</x:f>
        <x:v>19927.741500000004</x:v>
      </x:c>
      <x:c r="O282" s="195" t="n">
        <x:f>L282*0.13</x:f>
        <x:v>9594.8385</x:v>
      </x:c>
      <x:c r="P282" s="195" t="n">
        <x:f>N282-O282</x:f>
        <x:v>10332.903000000004</x:v>
      </x:c>
      <x:c r="Q282" s="195" t="n">
        <x:v>80837.043490774</x:v>
      </x:c>
    </x:row>
    <x:row r="283">
      <x:c r="A283" s="192" t="str">
        <x:v>ZOM-0279</x:v>
      </x:c>
      <x:c r="B283" s="193" t="n">
        <x:v>45936</x:v>
      </x:c>
      <x:c r="C283" s="236" t="str">
        <x:v>North</x:v>
      </x:c>
      <x:c r="D283" s="192" t="str">
        <x:v>Noida</x:v>
      </x:c>
      <x:c r="E283" s="192" t="str">
        <x:v>North Indian</x:v>
      </x:c>
      <x:c r="F283" s="192" t="str">
        <x:v>Budget</x:v>
      </x:c>
      <x:c r="G283" s="192" t="str">
        <x:v>Budget Customer 02</x:v>
      </x:c>
      <x:c r="H283" s="194" t="n">
        <x:v>100</x:v>
      </x:c>
      <x:c r="I283" s="195" t="n">
        <x:v>580</x:v>
      </x:c>
      <x:c r="J283" s="196" t="n">
        <x:v>0.08</x:v>
      </x:c>
      <x:c r="K283" s="195" t="n">
        <x:f>H283*I283</x:f>
        <x:v>58000</x:v>
      </x:c>
      <x:c r="L283" s="195" t="n">
        <x:f>K283*(1-J283)</x:f>
        <x:v>53360</x:v>
      </x:c>
      <x:c r="M283" s="195" t="n">
        <x:f>L283*(0.74-IF(E283="Healthy",0.04,IF(E283="Beverages",0.06,IF(E283="Desserts",0.05,IF(E283="North Indian",0.01,0)))))</x:f>
        <x:v>38952.799999999996</x:v>
      </x:c>
      <x:c r="N283" s="195" t="n">
        <x:f>L283-M283</x:f>
        <x:v>14407.200000000004</x:v>
      </x:c>
      <x:c r="O283" s="195" t="n">
        <x:f>L283*0.13</x:f>
        <x:v>6936.8</x:v>
      </x:c>
      <x:c r="P283" s="195" t="n">
        <x:f>N283-O283</x:f>
        <x:v>7470.400000000004</x:v>
      </x:c>
      <x:c r="Q283" s="195" t="n">
        <x:v>58564.1821770203</x:v>
      </x:c>
    </x:row>
    <x:row r="284">
      <x:c r="A284" s="192" t="str">
        <x:v>ZOM-0280</x:v>
      </x:c>
      <x:c r="B284" s="193" t="n">
        <x:v>45937</x:v>
      </x:c>
      <x:c r="C284" s="236" t="str">
        <x:v>Metro</x:v>
      </x:c>
      <x:c r="D284" s="192" t="str">
        <x:v>Mumbai</x:v>
      </x:c>
      <x:c r="E284" s="192" t="str">
        <x:v>Beverages</x:v>
      </x:c>
      <x:c r="F284" s="192" t="str">
        <x:v>Gold User</x:v>
      </x:c>
      <x:c r="G284" s="192" t="str">
        <x:v>Gold User Customer 60</x:v>
      </x:c>
      <x:c r="H284" s="194" t="n">
        <x:v>115</x:v>
      </x:c>
      <x:c r="I284" s="195" t="n">
        <x:v>189</x:v>
      </x:c>
      <x:c r="J284" s="196" t="n">
        <x:v>0.03</x:v>
      </x:c>
      <x:c r="K284" s="195" t="n">
        <x:f>H284*I284</x:f>
        <x:v>21735</x:v>
      </x:c>
      <x:c r="L284" s="195" t="n">
        <x:f>K284*(1-J284)</x:f>
        <x:v>21082.95</x:v>
      </x:c>
      <x:c r="M284" s="195" t="n">
        <x:f>L284*(0.74-IF(E284="Healthy",0.04,IF(E284="Beverages",0.06,IF(E284="Desserts",0.05,IF(E284="North Indian",0.01,0)))))</x:f>
        <x:v>14336.405999999999</x:v>
      </x:c>
      <x:c r="N284" s="195" t="n">
        <x:f>L284-M284</x:f>
        <x:v>6746.544000000002</x:v>
      </x:c>
      <x:c r="O284" s="195" t="n">
        <x:f>L284*0.13</x:f>
        <x:v>2740.7835</x:v>
      </x:c>
      <x:c r="P284" s="195" t="n">
        <x:f>N284-O284</x:f>
        <x:v>4005.7605000000017</x:v>
      </x:c>
      <x:c r="Q284" s="195" t="n">
        <x:v>21211.06105398136</x:v>
      </x:c>
    </x:row>
    <x:row r="285">
      <x:c r="A285" s="192" t="str">
        <x:v>ZOM-0281</x:v>
      </x:c>
      <x:c r="B285" s="193" t="n">
        <x:v>45938</x:v>
      </x:c>
      <x:c r="C285" s="236" t="str">
        <x:v>West</x:v>
      </x:c>
      <x:c r="D285" s="192" t="str">
        <x:v>Surat</x:v>
      </x:c>
      <x:c r="E285" s="192" t="str">
        <x:v>South Indian</x:v>
      </x:c>
      <x:c r="F285" s="192" t="str">
        <x:v>Repeat User</x:v>
      </x:c>
      <x:c r="G285" s="192" t="str">
        <x:v>Repeat User Customer 10</x:v>
      </x:c>
      <x:c r="H285" s="194" t="n">
        <x:v>143</x:v>
      </x:c>
      <x:c r="I285" s="195" t="n">
        <x:v>322</x:v>
      </x:c>
      <x:c r="J285" s="196" t="n">
        <x:v>0.05</x:v>
      </x:c>
      <x:c r="K285" s="195" t="n">
        <x:f>H285*I285</x:f>
        <x:v>46046</x:v>
      </x:c>
      <x:c r="L285" s="195" t="n">
        <x:f>K285*(1-J285)</x:f>
        <x:v>43743.7</x:v>
      </x:c>
      <x:c r="M285" s="195" t="n">
        <x:f>L285*(0.74-IF(E285="Healthy",0.04,IF(E285="Beverages",0.06,IF(E285="Desserts",0.05,IF(E285="North Indian",0.01,0)))))</x:f>
        <x:v>32370.337999999996</x:v>
      </x:c>
      <x:c r="N285" s="195" t="n">
        <x:f>L285-M285</x:f>
        <x:v>11373.362000000001</x:v>
      </x:c>
      <x:c r="O285" s="195" t="n">
        <x:f>L285*0.13</x:f>
        <x:v>5686.681</x:v>
      </x:c>
      <x:c r="P285" s="195" t="n">
        <x:f>N285-O285</x:f>
        <x:v>5686.681000000001</x:v>
      </x:c>
      <x:c r="Q285" s="195" t="n">
        <x:v>46084.92282625338</x:v>
      </x:c>
    </x:row>
    <x:row r="286">
      <x:c r="A286" s="192" t="str">
        <x:v>ZOM-0282</x:v>
      </x:c>
      <x:c r="B286" s="193" t="n">
        <x:v>45939</x:v>
      </x:c>
      <x:c r="C286" s="236" t="str">
        <x:v>North</x:v>
      </x:c>
      <x:c r="D286" s="192" t="str">
        <x:v>Lucknow</x:v>
      </x:c>
      <x:c r="E286" s="192" t="str">
        <x:v>Burgers</x:v>
      </x:c>
      <x:c r="F286" s="192" t="str">
        <x:v>Corporate</x:v>
      </x:c>
      <x:c r="G286" s="192" t="str">
        <x:v>Corporate Customer 13</x:v>
      </x:c>
      <x:c r="H286" s="194" t="n">
        <x:v>161</x:v>
      </x:c>
      <x:c r="I286" s="195" t="n">
        <x:v>409</x:v>
      </x:c>
      <x:c r="J286" s="196" t="n">
        <x:v>0.03</x:v>
      </x:c>
      <x:c r="K286" s="195" t="n">
        <x:f>H286*I286</x:f>
        <x:v>65849</x:v>
      </x:c>
      <x:c r="L286" s="195" t="n">
        <x:f>K286*(1-J286)</x:f>
        <x:v>63873.53</x:v>
      </x:c>
      <x:c r="M286" s="195" t="n">
        <x:f>L286*(0.74-IF(E286="Healthy",0.04,IF(E286="Beverages",0.06,IF(E286="Desserts",0.05,IF(E286="North Indian",0.01,0)))))</x:f>
        <x:v>47266.4122</x:v>
      </x:c>
      <x:c r="N286" s="195" t="n">
        <x:f>L286-M286</x:f>
        <x:v>16607.1178</x:v>
      </x:c>
      <x:c r="O286" s="195" t="n">
        <x:f>L286*0.13</x:f>
        <x:v>8303.5589</x:v>
      </x:c>
      <x:c r="P286" s="195" t="n">
        <x:f>N286-O286</x:f>
        <x:v>8303.5589</x:v>
      </x:c>
      <x:c r="Q286" s="195" t="n">
        <x:v>64925.41986288385</x:v>
      </x:c>
    </x:row>
    <x:row r="287">
      <x:c r="A287" s="192" t="str">
        <x:v>ZOM-0283</x:v>
      </x:c>
      <x:c r="B287" s="193" t="n">
        <x:v>45940</x:v>
      </x:c>
      <x:c r="C287" s="236" t="str">
        <x:v>East</x:v>
      </x:c>
      <x:c r="D287" s="192" t="str">
        <x:v>Guwahati</x:v>
      </x:c>
      <x:c r="E287" s="192" t="str">
        <x:v>Biryani</x:v>
      </x:c>
      <x:c r="F287" s="192" t="str">
        <x:v>Student</x:v>
      </x:c>
      <x:c r="G287" s="192" t="str">
        <x:v>Student Customer 32</x:v>
      </x:c>
      <x:c r="H287" s="194" t="n">
        <x:v>102</x:v>
      </x:c>
      <x:c r="I287" s="195" t="n">
        <x:v>534</x:v>
      </x:c>
      <x:c r="J287" s="196" t="n">
        <x:v>0.13</x:v>
      </x:c>
      <x:c r="K287" s="195" t="n">
        <x:f>H287*I287</x:f>
        <x:v>54468</x:v>
      </x:c>
      <x:c r="L287" s="195" t="n">
        <x:f>K287*(1-J287)</x:f>
        <x:v>47387.159999999996</x:v>
      </x:c>
      <x:c r="M287" s="195" t="n">
        <x:f>L287*(0.74-IF(E287="Healthy",0.04,IF(E287="Beverages",0.06,IF(E287="Desserts",0.05,IF(E287="North Indian",0.01,0)))))</x:f>
        <x:v>35066.4984</x:v>
      </x:c>
      <x:c r="N287" s="195" t="n">
        <x:f>L287-M287</x:f>
        <x:v>12320.6616</x:v>
      </x:c>
      <x:c r="O287" s="195" t="n">
        <x:f>L287*0.13</x:f>
        <x:v>6160.3308</x:v>
      </x:c>
      <x:c r="P287" s="195" t="n">
        <x:f>N287-O287</x:f>
        <x:v>6160.3308</x:v>
      </x:c>
      <x:c r="Q287" s="195" t="n">
        <x:v>50483.53828768615</x:v>
      </x:c>
    </x:row>
    <x:row r="288">
      <x:c r="A288" s="192" t="str">
        <x:v>ZOM-0284</x:v>
      </x:c>
      <x:c r="B288" s="193" t="n">
        <x:v>45941</x:v>
      </x:c>
      <x:c r="C288" s="236" t="str">
        <x:v>South</x:v>
      </x:c>
      <x:c r="D288" s="192" t="str">
        <x:v>Coimbatore</x:v>
      </x:c>
      <x:c r="E288" s="192" t="str">
        <x:v>Chinese</x:v>
      </x:c>
      <x:c r="F288" s="192" t="str">
        <x:v>Repeat User</x:v>
      </x:c>
      <x:c r="G288" s="192" t="str">
        <x:v>Repeat User Customer 52</x:v>
      </x:c>
      <x:c r="H288" s="194" t="n">
        <x:v>104</x:v>
      </x:c>
      <x:c r="I288" s="195" t="n">
        <x:v>366</x:v>
      </x:c>
      <x:c r="J288" s="196" t="n">
        <x:v>0.05</x:v>
      </x:c>
      <x:c r="K288" s="195" t="n">
        <x:f>H288*I288</x:f>
        <x:v>38064</x:v>
      </x:c>
      <x:c r="L288" s="195" t="n">
        <x:f>K288*(1-J288)</x:f>
        <x:v>36160.799999999996</x:v>
      </x:c>
      <x:c r="M288" s="195" t="n">
        <x:f>L288*(0.74-IF(E288="Healthy",0.04,IF(E288="Beverages",0.06,IF(E288="Desserts",0.05,IF(E288="North Indian",0.01,0)))))</x:f>
        <x:v>26758.991999999995</x:v>
      </x:c>
      <x:c r="N288" s="195" t="n">
        <x:f>L288-M288</x:f>
        <x:v>9401.808</x:v>
      </x:c>
      <x:c r="O288" s="195" t="n">
        <x:f>L288*0.13</x:f>
        <x:v>4700.9039999999995</x:v>
      </x:c>
      <x:c r="P288" s="195" t="n">
        <x:f>N288-O288</x:f>
        <x:v>4700.904000000001</x:v>
      </x:c>
      <x:c r="Q288" s="195" t="n">
        <x:v>37379.84999083927</x:v>
      </x:c>
    </x:row>
    <x:row r="289">
      <x:c r="A289" s="192" t="str">
        <x:v>ZOM-0285</x:v>
      </x:c>
      <x:c r="B289" s="193" t="n">
        <x:v>45942</x:v>
      </x:c>
      <x:c r="C289" s="236" t="str">
        <x:v>Metro</x:v>
      </x:c>
      <x:c r="D289" s="192" t="str">
        <x:v>Pune</x:v>
      </x:c>
      <x:c r="E289" s="192" t="str">
        <x:v>Pizza</x:v>
      </x:c>
      <x:c r="F289" s="192" t="str">
        <x:v>Corporate</x:v>
      </x:c>
      <x:c r="G289" s="192" t="str">
        <x:v>Corporate Customer 51</x:v>
      </x:c>
      <x:c r="H289" s="194" t="n">
        <x:v>136</x:v>
      </x:c>
      <x:c r="I289" s="195" t="n">
        <x:v>768</x:v>
      </x:c>
      <x:c r="J289" s="196" t="n">
        <x:v>0</x:v>
      </x:c>
      <x:c r="K289" s="195" t="n">
        <x:f>H289*I289</x:f>
        <x:v>104448</x:v>
      </x:c>
      <x:c r="L289" s="195" t="n">
        <x:f>K289*(1-J289)</x:f>
        <x:v>104448</x:v>
      </x:c>
      <x:c r="M289" s="195" t="n">
        <x:f>L289*(0.74-IF(E289="Healthy",0.04,IF(E289="Beverages",0.06,IF(E289="Desserts",0.05,IF(E289="North Indian",0.01,0)))))</x:f>
        <x:v>77291.52</x:v>
      </x:c>
      <x:c r="N289" s="195" t="n">
        <x:f>L289-M289</x:f>
        <x:v>27156.479999999996</x:v>
      </x:c>
      <x:c r="O289" s="195" t="n">
        <x:f>L289*0.13</x:f>
        <x:v>13578.24</x:v>
      </x:c>
      <x:c r="P289" s="195" t="n">
        <x:f>N289-O289</x:f>
        <x:v>13578.239999999996</x:v>
      </x:c>
      <x:c r="Q289" s="195" t="n">
        <x:v>111137.1369170481</x:v>
      </x:c>
    </x:row>
    <x:row r="290">
      <x:c r="A290" s="192" t="str">
        <x:v>ZOM-0286</x:v>
      </x:c>
      <x:c r="B290" s="193" t="n">
        <x:v>45943</x:v>
      </x:c>
      <x:c r="C290" s="236" t="str">
        <x:v>Metro</x:v>
      </x:c>
      <x:c r="D290" s="192" t="str">
        <x:v>Delhi</x:v>
      </x:c>
      <x:c r="E290" s="192" t="str">
        <x:v>Desserts</x:v>
      </x:c>
      <x:c r="F290" s="192" t="str">
        <x:v>Student</x:v>
      </x:c>
      <x:c r="G290" s="192" t="str">
        <x:v>Student Customer 12</x:v>
      </x:c>
      <x:c r="H290" s="194" t="n">
        <x:v>132</x:v>
      </x:c>
      <x:c r="I290" s="195" t="n">
        <x:v>332</x:v>
      </x:c>
      <x:c r="J290" s="196" t="n">
        <x:v>0.13</x:v>
      </x:c>
      <x:c r="K290" s="195" t="n">
        <x:f>H290*I290</x:f>
        <x:v>43824</x:v>
      </x:c>
      <x:c r="L290" s="195" t="n">
        <x:f>K290*(1-J290)</x:f>
        <x:v>38126.88</x:v>
      </x:c>
      <x:c r="M290" s="195" t="n">
        <x:f>L290*(0.74-IF(E290="Healthy",0.04,IF(E290="Beverages",0.06,IF(E290="Desserts",0.05,IF(E290="North Indian",0.01,0)))))</x:f>
        <x:v>26307.547199999997</x:v>
      </x:c>
      <x:c r="N290" s="195" t="n">
        <x:f>L290-M290</x:f>
        <x:v>11819.3328</x:v>
      </x:c>
      <x:c r="O290" s="195" t="n">
        <x:f>L290*0.13</x:f>
        <x:v>4956.4944</x:v>
      </x:c>
      <x:c r="P290" s="195" t="n">
        <x:f>N290-O290</x:f>
        <x:v>6862.838400000001</x:v>
      </x:c>
      <x:c r="Q290" s="195" t="n">
        <x:v>41993.95631016131</x:v>
      </x:c>
    </x:row>
    <x:row r="291">
      <x:c r="A291" s="192" t="str">
        <x:v>ZOM-0287</x:v>
      </x:c>
      <x:c r="B291" s="193" t="n">
        <x:v>45944</x:v>
      </x:c>
      <x:c r="C291" s="236" t="str">
        <x:v>South</x:v>
      </x:c>
      <x:c r="D291" s="192" t="str">
        <x:v>Chennai</x:v>
      </x:c>
      <x:c r="E291" s="192" t="str">
        <x:v>Healthy</x:v>
      </x:c>
      <x:c r="F291" s="192" t="str">
        <x:v>Budget</x:v>
      </x:c>
      <x:c r="G291" s="192" t="str">
        <x:v>Budget Customer 13</x:v>
      </x:c>
      <x:c r="H291" s="194" t="n">
        <x:v>131</x:v>
      </x:c>
      <x:c r="I291" s="195" t="n">
        <x:v>325</x:v>
      </x:c>
      <x:c r="J291" s="196" t="n">
        <x:v>0.1</x:v>
      </x:c>
      <x:c r="K291" s="195" t="n">
        <x:f>H291*I291</x:f>
        <x:v>42575</x:v>
      </x:c>
      <x:c r="L291" s="195" t="n">
        <x:f>K291*(1-J291)</x:f>
        <x:v>38317.5</x:v>
      </x:c>
      <x:c r="M291" s="195" t="n">
        <x:f>L291*(0.74-IF(E291="Healthy",0.04,IF(E291="Beverages",0.06,IF(E291="Desserts",0.05,IF(E291="North Indian",0.01,0)))))</x:f>
        <x:v>26822.25</x:v>
      </x:c>
      <x:c r="N291" s="195" t="n">
        <x:f>L291-M291</x:f>
        <x:v>11495.25</x:v>
      </x:c>
      <x:c r="O291" s="195" t="n">
        <x:f>L291*0.13</x:f>
        <x:v>4981.275000000001</x:v>
      </x:c>
      <x:c r="P291" s="195" t="n">
        <x:f>N291-O291</x:f>
        <x:v>6513.974999999999</x:v>
      </x:c>
      <x:c r="Q291" s="195" t="n">
        <x:v>40906.730991081844</x:v>
      </x:c>
    </x:row>
    <x:row r="292">
      <x:c r="A292" s="192" t="str">
        <x:v>ZOM-0288</x:v>
      </x:c>
      <x:c r="B292" s="193" t="n">
        <x:v>45945</x:v>
      </x:c>
      <x:c r="C292" s="236" t="str">
        <x:v>Metro</x:v>
      </x:c>
      <x:c r="D292" s="192" t="str">
        <x:v>Hyderabad</x:v>
      </x:c>
      <x:c r="E292" s="192" t="str">
        <x:v>Chinese</x:v>
      </x:c>
      <x:c r="F292" s="192" t="str">
        <x:v>New User</x:v>
      </x:c>
      <x:c r="G292" s="192" t="str">
        <x:v>New User Customer 22</x:v>
      </x:c>
      <x:c r="H292" s="194" t="n">
        <x:v>83</x:v>
      </x:c>
      <x:c r="I292" s="195" t="n">
        <x:v>378</x:v>
      </x:c>
      <x:c r="J292" s="196" t="n">
        <x:v>0.08</x:v>
      </x:c>
      <x:c r="K292" s="195" t="n">
        <x:f>H292*I292</x:f>
        <x:v>31374</x:v>
      </x:c>
      <x:c r="L292" s="195" t="n">
        <x:f>K292*(1-J292)</x:f>
        <x:v>28864.08</x:v>
      </x:c>
      <x:c r="M292" s="195" t="n">
        <x:f>L292*(0.74-IF(E292="Healthy",0.04,IF(E292="Beverages",0.06,IF(E292="Desserts",0.05,IF(E292="North Indian",0.01,0)))))</x:f>
        <x:v>21359.4192</x:v>
      </x:c>
      <x:c r="N292" s="195" t="n">
        <x:f>L292-M292</x:f>
        <x:v>7504.6608000000015</x:v>
      </x:c>
      <x:c r="O292" s="195" t="n">
        <x:f>L292*0.13</x:f>
        <x:v>3752.3304000000003</x:v>
      </x:c>
      <x:c r="P292" s="195" t="n">
        <x:f>N292-O292</x:f>
        <x:v>3752.330400000001</x:v>
      </x:c>
      <x:c r="Q292" s="195" t="n">
        <x:v>30519.68548722572</x:v>
      </x:c>
    </x:row>
    <x:row r="293">
      <x:c r="A293" s="192" t="str">
        <x:v>ZOM-0289</x:v>
      </x:c>
      <x:c r="B293" s="193" t="n">
        <x:v>45946</x:v>
      </x:c>
      <x:c r="C293" s="236" t="str">
        <x:v>Metro</x:v>
      </x:c>
      <x:c r="D293" s="192" t="str">
        <x:v>Mumbai</x:v>
      </x:c>
      <x:c r="E293" s="192" t="str">
        <x:v>Healthy</x:v>
      </x:c>
      <x:c r="F293" s="192" t="str">
        <x:v>Repeat User</x:v>
      </x:c>
      <x:c r="G293" s="192" t="str">
        <x:v>Repeat User Customer 10</x:v>
      </x:c>
      <x:c r="H293" s="194" t="n">
        <x:v>110</x:v>
      </x:c>
      <x:c r="I293" s="195" t="n">
        <x:v>474</x:v>
      </x:c>
      <x:c r="J293" s="196" t="n">
        <x:v>0.05</x:v>
      </x:c>
      <x:c r="K293" s="195" t="n">
        <x:f>H293*I293</x:f>
        <x:v>52140</x:v>
      </x:c>
      <x:c r="L293" s="195" t="n">
        <x:f>K293*(1-J293)</x:f>
        <x:v>49533</x:v>
      </x:c>
      <x:c r="M293" s="195" t="n">
        <x:f>L293*(0.74-IF(E293="Healthy",0.04,IF(E293="Beverages",0.06,IF(E293="Desserts",0.05,IF(E293="North Indian",0.01,0)))))</x:f>
        <x:v>34673.1</x:v>
      </x:c>
      <x:c r="N293" s="195" t="n">
        <x:f>L293-M293</x:f>
        <x:v>14859.900000000001</x:v>
      </x:c>
      <x:c r="O293" s="195" t="n">
        <x:f>L293*0.13</x:f>
        <x:v>6439.29</x:v>
      </x:c>
      <x:c r="P293" s="195" t="n">
        <x:f>N293-O293</x:f>
        <x:v>8420.61</x:v>
      </x:c>
      <x:c r="Q293" s="195" t="n">
        <x:v>53721.68686740327</x:v>
      </x:c>
    </x:row>
    <x:row r="294">
      <x:c r="A294" s="192" t="str">
        <x:v>ZOM-0290</x:v>
      </x:c>
      <x:c r="B294" s="193" t="n">
        <x:v>45947</x:v>
      </x:c>
      <x:c r="C294" s="236" t="str">
        <x:v>Central</x:v>
      </x:c>
      <x:c r="D294" s="192" t="str">
        <x:v>Varanasi</x:v>
      </x:c>
      <x:c r="E294" s="192" t="str">
        <x:v>Healthy</x:v>
      </x:c>
      <x:c r="F294" s="192" t="str">
        <x:v>Student</x:v>
      </x:c>
      <x:c r="G294" s="192" t="str">
        <x:v>Student Customer 11</x:v>
      </x:c>
      <x:c r="H294" s="194" t="n">
        <x:v>82</x:v>
      </x:c>
      <x:c r="I294" s="195" t="n">
        <x:v>438</x:v>
      </x:c>
      <x:c r="J294" s="196" t="n">
        <x:v>0.13</x:v>
      </x:c>
      <x:c r="K294" s="195" t="n">
        <x:f>H294*I294</x:f>
        <x:v>35916</x:v>
      </x:c>
      <x:c r="L294" s="195" t="n">
        <x:f>K294*(1-J294)</x:f>
        <x:v>31246.92</x:v>
      </x:c>
      <x:c r="M294" s="195" t="n">
        <x:f>L294*(0.74-IF(E294="Healthy",0.04,IF(E294="Beverages",0.06,IF(E294="Desserts",0.05,IF(E294="North Indian",0.01,0)))))</x:f>
        <x:v>21872.843999999997</x:v>
      </x:c>
      <x:c r="N294" s="195" t="n">
        <x:f>L294-M294</x:f>
        <x:v>9374.076000000001</x:v>
      </x:c>
      <x:c r="O294" s="195" t="n">
        <x:f>L294*0.13</x:f>
        <x:v>4062.0996</x:v>
      </x:c>
      <x:c r="P294" s="195" t="n">
        <x:f>N294-O294</x:f>
        <x:v>5311.976400000001</x:v>
      </x:c>
      <x:c r="Q294" s="195" t="n">
        <x:v>32456.562782254074</x:v>
      </x:c>
    </x:row>
    <x:row r="295">
      <x:c r="A295" s="192" t="str">
        <x:v>ZOM-0291</x:v>
      </x:c>
      <x:c r="B295" s="193" t="n">
        <x:v>45948</x:v>
      </x:c>
      <x:c r="C295" s="236" t="str">
        <x:v>Central</x:v>
      </x:c>
      <x:c r="D295" s="192" t="str">
        <x:v>Kanpur</x:v>
      </x:c>
      <x:c r="E295" s="192" t="str">
        <x:v>Healthy</x:v>
      </x:c>
      <x:c r="F295" s="192" t="str">
        <x:v>Student</x:v>
      </x:c>
      <x:c r="G295" s="192" t="str">
        <x:v>Student Customer 20</x:v>
      </x:c>
      <x:c r="H295" s="194" t="n">
        <x:v>77</x:v>
      </x:c>
      <x:c r="I295" s="195" t="n">
        <x:v>349</x:v>
      </x:c>
      <x:c r="J295" s="196" t="n">
        <x:v>0.12</x:v>
      </x:c>
      <x:c r="K295" s="195" t="n">
        <x:f>H295*I295</x:f>
        <x:v>26873</x:v>
      </x:c>
      <x:c r="L295" s="195" t="n">
        <x:f>K295*(1-J295)</x:f>
        <x:v>23648.24</x:v>
      </x:c>
      <x:c r="M295" s="195" t="n">
        <x:f>L295*(0.74-IF(E295="Healthy",0.04,IF(E295="Beverages",0.06,IF(E295="Desserts",0.05,IF(E295="North Indian",0.01,0)))))</x:f>
        <x:v>16553.768</x:v>
      </x:c>
      <x:c r="N295" s="195" t="n">
        <x:f>L295-M295</x:f>
        <x:v>7094.472000000002</x:v>
      </x:c>
      <x:c r="O295" s="195" t="n">
        <x:f>L295*0.13</x:f>
        <x:v>3074.2712</x:v>
      </x:c>
      <x:c r="P295" s="195" t="n">
        <x:f>N295-O295</x:f>
        <x:v>4020.2008000000014</x:v>
      </x:c>
      <x:c r="Q295" s="195" t="n">
        <x:v>24145.850891647995</x:v>
      </x:c>
    </x:row>
    <x:row r="296">
      <x:c r="A296" s="192" t="str">
        <x:v>ZOM-0292</x:v>
      </x:c>
      <x:c r="B296" s="193" t="n">
        <x:v>45949</x:v>
      </x:c>
      <x:c r="C296" s="236" t="str">
        <x:v>Central</x:v>
      </x:c>
      <x:c r="D296" s="192" t="str">
        <x:v>Raipur</x:v>
      </x:c>
      <x:c r="E296" s="192" t="str">
        <x:v>North Indian</x:v>
      </x:c>
      <x:c r="F296" s="192" t="str">
        <x:v>Budget</x:v>
      </x:c>
      <x:c r="G296" s="192" t="str">
        <x:v>Budget Customer 40</x:v>
      </x:c>
      <x:c r="H296" s="194" t="n">
        <x:v>105</x:v>
      </x:c>
      <x:c r="I296" s="195" t="n">
        <x:v>514</x:v>
      </x:c>
      <x:c r="J296" s="196" t="n">
        <x:v>0.08</x:v>
      </x:c>
      <x:c r="K296" s="195" t="n">
        <x:f>H296*I296</x:f>
        <x:v>53970</x:v>
      </x:c>
      <x:c r="L296" s="195" t="n">
        <x:f>K296*(1-J296)</x:f>
        <x:v>49652.4</x:v>
      </x:c>
      <x:c r="M296" s="195" t="n">
        <x:f>L296*(0.74-IF(E296="Healthy",0.04,IF(E296="Beverages",0.06,IF(E296="Desserts",0.05,IF(E296="North Indian",0.01,0)))))</x:f>
        <x:v>36246.252</x:v>
      </x:c>
      <x:c r="N296" s="195" t="n">
        <x:f>L296-M296</x:f>
        <x:v>13406.148000000001</x:v>
      </x:c>
      <x:c r="O296" s="195" t="n">
        <x:f>L296*0.13</x:f>
        <x:v>6454.812000000001</x:v>
      </x:c>
      <x:c r="P296" s="195" t="n">
        <x:f>N296-O296</x:f>
        <x:v>6951.336</x:v>
      </x:c>
      <x:c r="Q296" s="195" t="n">
        <x:v>54471.50460013307</x:v>
      </x:c>
    </x:row>
    <x:row r="297">
      <x:c r="A297" s="192" t="str">
        <x:v>ZOM-0293</x:v>
      </x:c>
      <x:c r="B297" s="193" t="n">
        <x:v>45950</x:v>
      </x:c>
      <x:c r="C297" s="236" t="str">
        <x:v>South</x:v>
      </x:c>
      <x:c r="D297" s="192" t="str">
        <x:v>Coimbatore</x:v>
      </x:c>
      <x:c r="E297" s="192" t="str">
        <x:v>North Indian</x:v>
      </x:c>
      <x:c r="F297" s="192" t="str">
        <x:v>Gold User</x:v>
      </x:c>
      <x:c r="G297" s="192" t="str">
        <x:v>Gold User Customer 06</x:v>
      </x:c>
      <x:c r="H297" s="194" t="n">
        <x:v>139</x:v>
      </x:c>
      <x:c r="I297" s="195" t="n">
        <x:v>593</x:v>
      </x:c>
      <x:c r="J297" s="196" t="n">
        <x:v>0.03</x:v>
      </x:c>
      <x:c r="K297" s="195" t="n">
        <x:f>H297*I297</x:f>
        <x:v>82427</x:v>
      </x:c>
      <x:c r="L297" s="195" t="n">
        <x:f>K297*(1-J297)</x:f>
        <x:v>79954.19</x:v>
      </x:c>
      <x:c r="M297" s="195" t="n">
        <x:f>L297*(0.74-IF(E297="Healthy",0.04,IF(E297="Beverages",0.06,IF(E297="Desserts",0.05,IF(E297="North Indian",0.01,0)))))</x:f>
        <x:v>58366.5587</x:v>
      </x:c>
      <x:c r="N297" s="195" t="n">
        <x:f>L297-M297</x:f>
        <x:v>21587.6313</x:v>
      </x:c>
      <x:c r="O297" s="195" t="n">
        <x:f>L297*0.13</x:f>
        <x:v>10394.0447</x:v>
      </x:c>
      <x:c r="P297" s="195" t="n">
        <x:f>N297-O297</x:f>
        <x:v>11193.5866</x:v>
      </x:c>
      <x:c r="Q297" s="195" t="n">
        <x:v>86058.08574839418</x:v>
      </x:c>
    </x:row>
    <x:row r="298">
      <x:c r="A298" s="192" t="str">
        <x:v>ZOM-0294</x:v>
      </x:c>
      <x:c r="B298" s="193" t="n">
        <x:v>45951</x:v>
      </x:c>
      <x:c r="C298" s="236" t="str">
        <x:v>Central</x:v>
      </x:c>
      <x:c r="D298" s="192" t="str">
        <x:v>Raipur</x:v>
      </x:c>
      <x:c r="E298" s="192" t="str">
        <x:v>South Indian</x:v>
      </x:c>
      <x:c r="F298" s="192" t="str">
        <x:v>Repeat User</x:v>
      </x:c>
      <x:c r="G298" s="192" t="str">
        <x:v>Repeat User Customer 25</x:v>
      </x:c>
      <x:c r="H298" s="194" t="n">
        <x:v>92</x:v>
      </x:c>
      <x:c r="I298" s="195" t="n">
        <x:v>403</x:v>
      </x:c>
      <x:c r="J298" s="196" t="n">
        <x:v>0.05</x:v>
      </x:c>
      <x:c r="K298" s="195" t="n">
        <x:f>H298*I298</x:f>
        <x:v>37076</x:v>
      </x:c>
      <x:c r="L298" s="195" t="n">
        <x:f>K298*(1-J298)</x:f>
        <x:v>35222.2</x:v>
      </x:c>
      <x:c r="M298" s="195" t="n">
        <x:f>L298*(0.74-IF(E298="Healthy",0.04,IF(E298="Beverages",0.06,IF(E298="Desserts",0.05,IF(E298="North Indian",0.01,0)))))</x:f>
        <x:v>26064.427999999996</x:v>
      </x:c>
      <x:c r="N298" s="195" t="n">
        <x:f>L298-M298</x:f>
        <x:v>9157.772</x:v>
      </x:c>
      <x:c r="O298" s="195" t="n">
        <x:f>L298*0.13</x:f>
        <x:v>4578.8859999999995</x:v>
      </x:c>
      <x:c r="P298" s="195" t="n">
        <x:f>N298-O298</x:f>
        <x:v>4578.886000000001</x:v>
      </x:c>
      <x:c r="Q298" s="195" t="n">
        <x:v>35227.61502226114</x:v>
      </x:c>
    </x:row>
    <x:row r="299">
      <x:c r="A299" s="192" t="str">
        <x:v>ZOM-0295</x:v>
      </x:c>
      <x:c r="B299" s="193" t="n">
        <x:v>45952</x:v>
      </x:c>
      <x:c r="C299" s="236" t="str">
        <x:v>West</x:v>
      </x:c>
      <x:c r="D299" s="192" t="str">
        <x:v>Surat</x:v>
      </x:c>
      <x:c r="E299" s="192" t="str">
        <x:v>Snacks</x:v>
      </x:c>
      <x:c r="F299" s="192" t="str">
        <x:v>Student</x:v>
      </x:c>
      <x:c r="G299" s="192" t="str">
        <x:v>Student Customer 56</x:v>
      </x:c>
      <x:c r="H299" s="194" t="n">
        <x:v>119</x:v>
      </x:c>
      <x:c r="I299" s="195" t="n">
        <x:v>288</x:v>
      </x:c>
      <x:c r="J299" s="196" t="n">
        <x:v>0.12</x:v>
      </x:c>
      <x:c r="K299" s="195" t="n">
        <x:f>H299*I299</x:f>
        <x:v>34272</x:v>
      </x:c>
      <x:c r="L299" s="195" t="n">
        <x:f>K299*(1-J299)</x:f>
        <x:v>30159.36</x:v>
      </x:c>
      <x:c r="M299" s="195" t="n">
        <x:f>L299*(0.74-IF(E299="Healthy",0.04,IF(E299="Beverages",0.06,IF(E299="Desserts",0.05,IF(E299="North Indian",0.01,0)))))</x:f>
        <x:v>22317.9264</x:v>
      </x:c>
      <x:c r="N299" s="195" t="n">
        <x:f>L299-M299</x:f>
        <x:v>7841.4336</x:v>
      </x:c>
      <x:c r="O299" s="195" t="n">
        <x:f>L299*0.13</x:f>
        <x:v>3920.7168</x:v>
      </x:c>
      <x:c r="P299" s="195" t="n">
        <x:f>N299-O299</x:f>
        <x:v>3920.7168</x:v>
      </x:c>
      <x:c r="Q299" s="195" t="n">
        <x:v>31894.69067026298</x:v>
      </x:c>
    </x:row>
    <x:row r="300">
      <x:c r="A300" s="192" t="str">
        <x:v>ZOM-0296</x:v>
      </x:c>
      <x:c r="B300" s="193" t="n">
        <x:v>45953</x:v>
      </x:c>
      <x:c r="C300" s="236" t="str">
        <x:v>West</x:v>
      </x:c>
      <x:c r="D300" s="192" t="str">
        <x:v>Pune</x:v>
      </x:c>
      <x:c r="E300" s="192" t="str">
        <x:v>Biryani</x:v>
      </x:c>
      <x:c r="F300" s="192" t="str">
        <x:v>New User</x:v>
      </x:c>
      <x:c r="G300" s="192" t="str">
        <x:v>New User Customer 57</x:v>
      </x:c>
      <x:c r="H300" s="194" t="n">
        <x:v>81</x:v>
      </x:c>
      <x:c r="I300" s="195" t="n">
        <x:v>436</x:v>
      </x:c>
      <x:c r="J300" s="196" t="n">
        <x:v>0.08</x:v>
      </x:c>
      <x:c r="K300" s="195" t="n">
        <x:f>H300*I300</x:f>
        <x:v>35316</x:v>
      </x:c>
      <x:c r="L300" s="195" t="n">
        <x:f>K300*(1-J300)</x:f>
        <x:v>32490.72</x:v>
      </x:c>
      <x:c r="M300" s="195" t="n">
        <x:f>L300*(0.74-IF(E300="Healthy",0.04,IF(E300="Beverages",0.06,IF(E300="Desserts",0.05,IF(E300="North Indian",0.01,0)))))</x:f>
        <x:v>24043.1328</x:v>
      </x:c>
      <x:c r="N300" s="195" t="n">
        <x:f>L300-M300</x:f>
        <x:v>8447.587200000002</x:v>
      </x:c>
      <x:c r="O300" s="195" t="n">
        <x:f>L300*0.13</x:f>
        <x:v>4223.7936</x:v>
      </x:c>
      <x:c r="P300" s="195" t="n">
        <x:f>N300-O300</x:f>
        <x:v>4223.793600000002</x:v>
      </x:c>
      <x:c r="Q300" s="195" t="n">
        <x:v>33823.39134687177</x:v>
      </x:c>
    </x:row>
    <x:row r="301">
      <x:c r="A301" s="192" t="str">
        <x:v>ZOM-0297</x:v>
      </x:c>
      <x:c r="B301" s="193" t="n">
        <x:v>45954</x:v>
      </x:c>
      <x:c r="C301" s="236" t="str">
        <x:v>South</x:v>
      </x:c>
      <x:c r="D301" s="192" t="str">
        <x:v>Bengaluru</x:v>
      </x:c>
      <x:c r="E301" s="192" t="str">
        <x:v>Chinese</x:v>
      </x:c>
      <x:c r="F301" s="192" t="str">
        <x:v>Student</x:v>
      </x:c>
      <x:c r="G301" s="192" t="str">
        <x:v>Student Customer 39</x:v>
      </x:c>
      <x:c r="H301" s="194" t="n">
        <x:v>70</x:v>
      </x:c>
      <x:c r="I301" s="195" t="n">
        <x:v>425</x:v>
      </x:c>
      <x:c r="J301" s="196" t="n">
        <x:v>0.13</x:v>
      </x:c>
      <x:c r="K301" s="195" t="n">
        <x:f>H301*I301</x:f>
        <x:v>29750</x:v>
      </x:c>
      <x:c r="L301" s="195" t="n">
        <x:f>K301*(1-J301)</x:f>
        <x:v>25882.5</x:v>
      </x:c>
      <x:c r="M301" s="195" t="n">
        <x:f>L301*(0.74-IF(E301="Healthy",0.04,IF(E301="Beverages",0.06,IF(E301="Desserts",0.05,IF(E301="North Indian",0.01,0)))))</x:f>
        <x:v>19153.05</x:v>
      </x:c>
      <x:c r="N301" s="195" t="n">
        <x:f>L301-M301</x:f>
        <x:v>6729.450000000001</x:v>
      </x:c>
      <x:c r="O301" s="195" t="n">
        <x:f>L301*0.13</x:f>
        <x:v>3364.725</x:v>
      </x:c>
      <x:c r="P301" s="195" t="n">
        <x:f>N301-O301</x:f>
        <x:v>3364.725000000001</x:v>
      </x:c>
      <x:c r="Q301" s="195" t="n">
        <x:v>27912.625490856655</x:v>
      </x:c>
    </x:row>
    <x:row r="302">
      <x:c r="A302" s="192" t="str">
        <x:v>ZOM-0298</x:v>
      </x:c>
      <x:c r="B302" s="193" t="n">
        <x:v>45955</x:v>
      </x:c>
      <x:c r="C302" s="236" t="str">
        <x:v>Metro</x:v>
      </x:c>
      <x:c r="D302" s="192" t="str">
        <x:v>Mumbai</x:v>
      </x:c>
      <x:c r="E302" s="192" t="str">
        <x:v>North Indian</x:v>
      </x:c>
      <x:c r="F302" s="192" t="str">
        <x:v>Repeat User</x:v>
      </x:c>
      <x:c r="G302" s="192" t="str">
        <x:v>Repeat User Customer 26</x:v>
      </x:c>
      <x:c r="H302" s="194" t="n">
        <x:v>112</x:v>
      </x:c>
      <x:c r="I302" s="195" t="n">
        <x:v>518</x:v>
      </x:c>
      <x:c r="J302" s="196" t="n">
        <x:v>0.05</x:v>
      </x:c>
      <x:c r="K302" s="195" t="n">
        <x:f>H302*I302</x:f>
        <x:v>58016</x:v>
      </x:c>
      <x:c r="L302" s="195" t="n">
        <x:f>K302*(1-J302)</x:f>
        <x:v>55115.2</x:v>
      </x:c>
      <x:c r="M302" s="195" t="n">
        <x:f>L302*(0.74-IF(E302="Healthy",0.04,IF(E302="Beverages",0.06,IF(E302="Desserts",0.05,IF(E302="North Indian",0.01,0)))))</x:f>
        <x:v>40234.096</x:v>
      </x:c>
      <x:c r="N302" s="195" t="n">
        <x:f>L302-M302</x:f>
        <x:v>14881.104</x:v>
      </x:c>
      <x:c r="O302" s="195" t="n">
        <x:f>L302*0.13</x:f>
        <x:v>7164.976</x:v>
      </x:c>
      <x:c r="P302" s="195" t="n">
        <x:f>N302-O302</x:f>
        <x:v>7716.128</x:v>
      </x:c>
      <x:c r="Q302" s="195" t="n">
        <x:v>55749.57102295226</x:v>
      </x:c>
    </x:row>
    <x:row r="303">
      <x:c r="A303" s="192" t="str">
        <x:v>ZOM-0299</x:v>
      </x:c>
      <x:c r="B303" s="193" t="n">
        <x:v>45956</x:v>
      </x:c>
      <x:c r="C303" s="236" t="str">
        <x:v>West</x:v>
      </x:c>
      <x:c r="D303" s="192" t="str">
        <x:v>Surat</x:v>
      </x:c>
      <x:c r="E303" s="192" t="str">
        <x:v>Biryani</x:v>
      </x:c>
      <x:c r="F303" s="192" t="str">
        <x:v>Repeat User</x:v>
      </x:c>
      <x:c r="G303" s="192" t="str">
        <x:v>Repeat User Customer 19</x:v>
      </x:c>
      <x:c r="H303" s="194" t="n">
        <x:v>143</x:v>
      </x:c>
      <x:c r="I303" s="195" t="n">
        <x:v>395</x:v>
      </x:c>
      <x:c r="J303" s="196" t="n">
        <x:v>0.060000000000000005</x:v>
      </x:c>
      <x:c r="K303" s="195" t="n">
        <x:f>H303*I303</x:f>
        <x:v>56485</x:v>
      </x:c>
      <x:c r="L303" s="195" t="n">
        <x:f>K303*(1-J303)</x:f>
        <x:v>53095.899999999994</x:v>
      </x:c>
      <x:c r="M303" s="195" t="n">
        <x:f>L303*(0.74-IF(E303="Healthy",0.04,IF(E303="Beverages",0.06,IF(E303="Desserts",0.05,IF(E303="North Indian",0.01,0)))))</x:f>
        <x:v>39290.96599999999</x:v>
      </x:c>
      <x:c r="N303" s="195" t="n">
        <x:f>L303-M303</x:f>
        <x:v>13804.934000000001</x:v>
      </x:c>
      <x:c r="O303" s="195" t="n">
        <x:f>L303*0.13</x:f>
        <x:v>6902.467</x:v>
      </x:c>
      <x:c r="P303" s="195" t="n">
        <x:f>N303-O303</x:f>
        <x:v>6902.4670000000015</x:v>
      </x:c>
      <x:c r="Q303" s="195" t="n">
        <x:v>54184.35867602453</x:v>
      </x:c>
    </x:row>
    <x:row r="304">
      <x:c r="A304" s="192" t="str">
        <x:v>ZOM-0300</x:v>
      </x:c>
      <x:c r="B304" s="193" t="n">
        <x:v>45957</x:v>
      </x:c>
      <x:c r="C304" s="236" t="str">
        <x:v>Metro</x:v>
      </x:c>
      <x:c r="D304" s="192" t="str">
        <x:v>Hyderabad</x:v>
      </x:c>
      <x:c r="E304" s="192" t="str">
        <x:v>Healthy</x:v>
      </x:c>
      <x:c r="F304" s="192" t="str">
        <x:v>Repeat User</x:v>
      </x:c>
      <x:c r="G304" s="192" t="str">
        <x:v>Repeat User Customer 57</x:v>
      </x:c>
      <x:c r="H304" s="194" t="n">
        <x:v>144</x:v>
      </x:c>
      <x:c r="I304" s="195" t="n">
        <x:v>399</x:v>
      </x:c>
      <x:c r="J304" s="196" t="n">
        <x:v>0.05</x:v>
      </x:c>
      <x:c r="K304" s="195" t="n">
        <x:f>H304*I304</x:f>
        <x:v>57456</x:v>
      </x:c>
      <x:c r="L304" s="195" t="n">
        <x:f>K304*(1-J304)</x:f>
        <x:v>54583.2</x:v>
      </x:c>
      <x:c r="M304" s="195" t="n">
        <x:f>L304*(0.74-IF(E304="Healthy",0.04,IF(E304="Beverages",0.06,IF(E304="Desserts",0.05,IF(E304="North Indian",0.01,0)))))</x:f>
        <x:v>38208.24</x:v>
      </x:c>
      <x:c r="N304" s="195" t="n">
        <x:f>L304-M304</x:f>
        <x:v>16374.96</x:v>
      </x:c>
      <x:c r="O304" s="195" t="n">
        <x:f>L304*0.13</x:f>
        <x:v>7095.816</x:v>
      </x:c>
      <x:c r="P304" s="195" t="n">
        <x:f>N304-O304</x:f>
        <x:v>9279.144</x:v>
      </x:c>
      <x:c r="Q304" s="195" t="n">
        <x:v>55794.169036450876</x:v>
      </x:c>
    </x:row>
    <x:row r="305">
      <x:c r="A305" s="192" t="str">
        <x:v>ZOM-0301</x:v>
      </x:c>
      <x:c r="B305" s="193" t="n">
        <x:v>45958</x:v>
      </x:c>
      <x:c r="C305" s="236" t="str">
        <x:v>South</x:v>
      </x:c>
      <x:c r="D305" s="192" t="str">
        <x:v>Hyderabad</x:v>
      </x:c>
      <x:c r="E305" s="192" t="str">
        <x:v>South Indian</x:v>
      </x:c>
      <x:c r="F305" s="192" t="str">
        <x:v>Repeat User</x:v>
      </x:c>
      <x:c r="G305" s="192" t="str">
        <x:v>Repeat User Customer 07</x:v>
      </x:c>
      <x:c r="H305" s="194" t="n">
        <x:v>144</x:v>
      </x:c>
      <x:c r="I305" s="195" t="n">
        <x:v>336</x:v>
      </x:c>
      <x:c r="J305" s="196" t="n">
        <x:v>0.05</x:v>
      </x:c>
      <x:c r="K305" s="195" t="n">
        <x:f>H305*I305</x:f>
        <x:v>48384</x:v>
      </x:c>
      <x:c r="L305" s="195" t="n">
        <x:f>K305*(1-J305)</x:f>
        <x:v>45964.799999999996</x:v>
      </x:c>
      <x:c r="M305" s="195" t="n">
        <x:f>L305*(0.74-IF(E305="Healthy",0.04,IF(E305="Beverages",0.06,IF(E305="Desserts",0.05,IF(E305="North Indian",0.01,0)))))</x:f>
        <x:v>34013.952</x:v>
      </x:c>
      <x:c r="N305" s="195" t="n">
        <x:f>L305-M305</x:f>
        <x:v>11950.847999999998</x:v>
      </x:c>
      <x:c r="O305" s="195" t="n">
        <x:f>L305*0.13</x:f>
        <x:v>5975.424</x:v>
      </x:c>
      <x:c r="P305" s="195" t="n">
        <x:f>N305-O305</x:f>
        <x:v>5975.423999999998</x:v>
      </x:c>
      <x:c r="Q305" s="195" t="n">
        <x:v>49806.37775647979</x:v>
      </x:c>
    </x:row>
    <x:row r="306">
      <x:c r="A306" s="192" t="str">
        <x:v>ZOM-0302</x:v>
      </x:c>
      <x:c r="B306" s="193" t="n">
        <x:v>45959</x:v>
      </x:c>
      <x:c r="C306" s="236" t="str">
        <x:v>North</x:v>
      </x:c>
      <x:c r="D306" s="192" t="str">
        <x:v>Gurugram</x:v>
      </x:c>
      <x:c r="E306" s="192" t="str">
        <x:v>Healthy</x:v>
      </x:c>
      <x:c r="F306" s="192" t="str">
        <x:v>Repeat User</x:v>
      </x:c>
      <x:c r="G306" s="192" t="str">
        <x:v>Repeat User Customer 35</x:v>
      </x:c>
      <x:c r="H306" s="194" t="n">
        <x:v>152</x:v>
      </x:c>
      <x:c r="I306" s="195" t="n">
        <x:v>358</x:v>
      </x:c>
      <x:c r="J306" s="196" t="n">
        <x:v>0.030000000000000002</x:v>
      </x:c>
      <x:c r="K306" s="195" t="n">
        <x:f>H306*I306</x:f>
        <x:v>54416</x:v>
      </x:c>
      <x:c r="L306" s="195" t="n">
        <x:f>K306*(1-J306)</x:f>
        <x:v>52783.52</x:v>
      </x:c>
      <x:c r="M306" s="195" t="n">
        <x:f>L306*(0.74-IF(E306="Healthy",0.04,IF(E306="Beverages",0.06,IF(E306="Desserts",0.05,IF(E306="North Indian",0.01,0)))))</x:f>
        <x:v>36948.46399999999</x:v>
      </x:c>
      <x:c r="N306" s="195" t="n">
        <x:f>L306-M306</x:f>
        <x:v>15835.056000000004</x:v>
      </x:c>
      <x:c r="O306" s="195" t="n">
        <x:f>L306*0.13</x:f>
        <x:v>6861.857599999999</x:v>
      </x:c>
      <x:c r="P306" s="195" t="n">
        <x:f>N306-O306</x:f>
        <x:v>8973.198400000005</x:v>
      </x:c>
      <x:c r="Q306" s="195" t="n">
        <x:v>55435.14493999329</x:v>
      </x:c>
    </x:row>
    <x:row r="307">
      <x:c r="A307" s="192" t="str">
        <x:v>ZOM-0303</x:v>
      </x:c>
      <x:c r="B307" s="193" t="n">
        <x:v>45960</x:v>
      </x:c>
      <x:c r="C307" s="236" t="str">
        <x:v>East</x:v>
      </x:c>
      <x:c r="D307" s="192" t="str">
        <x:v>Ranchi</x:v>
      </x:c>
      <x:c r="E307" s="192" t="str">
        <x:v>Chinese</x:v>
      </x:c>
      <x:c r="F307" s="192" t="str">
        <x:v>Repeat User</x:v>
      </x:c>
      <x:c r="G307" s="192" t="str">
        <x:v>Repeat User Customer 44</x:v>
      </x:c>
      <x:c r="H307" s="194" t="n">
        <x:v>102</x:v>
      </x:c>
      <x:c r="I307" s="195" t="n">
        <x:v>376</x:v>
      </x:c>
      <x:c r="J307" s="196" t="n">
        <x:v>0.030000000000000002</x:v>
      </x:c>
      <x:c r="K307" s="195" t="n">
        <x:f>H307*I307</x:f>
        <x:v>38352</x:v>
      </x:c>
      <x:c r="L307" s="195" t="n">
        <x:f>K307*(1-J307)</x:f>
        <x:v>37201.44</x:v>
      </x:c>
      <x:c r="M307" s="195" t="n">
        <x:f>L307*(0.74-IF(E307="Healthy",0.04,IF(E307="Beverages",0.06,IF(E307="Desserts",0.05,IF(E307="North Indian",0.01,0)))))</x:f>
        <x:v>27529.0656</x:v>
      </x:c>
      <x:c r="N307" s="195" t="n">
        <x:f>L307-M307</x:f>
        <x:v>9672.3744</x:v>
      </x:c>
      <x:c r="O307" s="195" t="n">
        <x:f>L307*0.13</x:f>
        <x:v>4836.1872</x:v>
      </x:c>
      <x:c r="P307" s="195" t="n">
        <x:f>N307-O307</x:f>
        <x:v>4836.1872</x:v>
      </x:c>
      <x:c r="Q307" s="195" t="n">
        <x:v>40774.78862093933</x:v>
      </x:c>
    </x:row>
    <x:row r="308">
      <x:c r="A308" s="192" t="str">
        <x:v>ZOM-0304</x:v>
      </x:c>
      <x:c r="B308" s="193" t="n">
        <x:v>45961</x:v>
      </x:c>
      <x:c r="C308" s="236" t="str">
        <x:v>Metro</x:v>
      </x:c>
      <x:c r="D308" s="192" t="str">
        <x:v>Mumbai</x:v>
      </x:c>
      <x:c r="E308" s="192" t="str">
        <x:v>North Indian</x:v>
      </x:c>
      <x:c r="F308" s="192" t="str">
        <x:v>Budget</x:v>
      </x:c>
      <x:c r="G308" s="192" t="str">
        <x:v>Budget Customer 28</x:v>
      </x:c>
      <x:c r="H308" s="194" t="n">
        <x:v>89</x:v>
      </x:c>
      <x:c r="I308" s="195" t="n">
        <x:v>639</x:v>
      </x:c>
      <x:c r="J308" s="196" t="n">
        <x:v>0.1</x:v>
      </x:c>
      <x:c r="K308" s="195" t="n">
        <x:f>H308*I308</x:f>
        <x:v>56871</x:v>
      </x:c>
      <x:c r="L308" s="195" t="n">
        <x:f>K308*(1-J308)</x:f>
        <x:v>51183.9</x:v>
      </x:c>
      <x:c r="M308" s="195" t="n">
        <x:f>L308*(0.74-IF(E308="Healthy",0.04,IF(E308="Beverages",0.06,IF(E308="Desserts",0.05,IF(E308="North Indian",0.01,0)))))</x:f>
        <x:v>37364.247</x:v>
      </x:c>
      <x:c r="N308" s="195" t="n">
        <x:f>L308-M308</x:f>
        <x:v>13819.652999999998</x:v>
      </x:c>
      <x:c r="O308" s="195" t="n">
        <x:f>L308*0.13</x:f>
        <x:v>6653.907</x:v>
      </x:c>
      <x:c r="P308" s="195" t="n">
        <x:f>N308-O308</x:f>
        <x:v>7165.745999999998</x:v>
      </x:c>
      <x:c r="Q308" s="195" t="n">
        <x:v>51958.942984285815</x:v>
      </x:c>
    </x:row>
    <x:row r="309">
      <x:c r="A309" s="192" t="str">
        <x:v>ZOM-0305</x:v>
      </x:c>
      <x:c r="B309" s="193" t="n">
        <x:v>45962</x:v>
      </x:c>
      <x:c r="C309" s="236" t="str">
        <x:v>North</x:v>
      </x:c>
      <x:c r="D309" s="192" t="str">
        <x:v>Jaipur</x:v>
      </x:c>
      <x:c r="E309" s="192" t="str">
        <x:v>Biryani</x:v>
      </x:c>
      <x:c r="F309" s="192" t="str">
        <x:v>Budget</x:v>
      </x:c>
      <x:c r="G309" s="192" t="str">
        <x:v>Budget Customer 06</x:v>
      </x:c>
      <x:c r="H309" s="194" t="n">
        <x:v>81</x:v>
      </x:c>
      <x:c r="I309" s="195" t="n">
        <x:v>542</x:v>
      </x:c>
      <x:c r="J309" s="196" t="n">
        <x:v>0.1</x:v>
      </x:c>
      <x:c r="K309" s="195" t="n">
        <x:f>H309*I309</x:f>
        <x:v>43902</x:v>
      </x:c>
      <x:c r="L309" s="195" t="n">
        <x:f>K309*(1-J309)</x:f>
        <x:v>39511.8</x:v>
      </x:c>
      <x:c r="M309" s="195" t="n">
        <x:f>L309*(0.74-IF(E309="Healthy",0.04,IF(E309="Beverages",0.06,IF(E309="Desserts",0.05,IF(E309="North Indian",0.01,0)))))</x:f>
        <x:v>29238.732000000004</x:v>
      </x:c>
      <x:c r="N309" s="195" t="n">
        <x:f>L309-M309</x:f>
        <x:v>10273.068</x:v>
      </x:c>
      <x:c r="O309" s="195" t="n">
        <x:f>L309*0.13</x:f>
        <x:v>5136.534000000001</x:v>
      </x:c>
      <x:c r="P309" s="195" t="n">
        <x:f>N309-O309</x:f>
        <x:v>5136.533999999999</x:v>
      </x:c>
      <x:c r="Q309" s="195" t="n">
        <x:v>43339.752193180175</x:v>
      </x:c>
    </x:row>
    <x:row r="310">
      <x:c r="A310" s="192" t="str">
        <x:v>ZOM-0306</x:v>
      </x:c>
      <x:c r="B310" s="193" t="n">
        <x:v>45963</x:v>
      </x:c>
      <x:c r="C310" s="236" t="str">
        <x:v>South</x:v>
      </x:c>
      <x:c r="D310" s="192" t="str">
        <x:v>Kochi</x:v>
      </x:c>
      <x:c r="E310" s="192" t="str">
        <x:v>Chinese</x:v>
      </x:c>
      <x:c r="F310" s="192" t="str">
        <x:v>Student</x:v>
      </x:c>
      <x:c r="G310" s="192" t="str">
        <x:v>Student Customer 27</x:v>
      </x:c>
      <x:c r="H310" s="194" t="n">
        <x:v>126</x:v>
      </x:c>
      <x:c r="I310" s="195" t="n">
        <x:v>447</x:v>
      </x:c>
      <x:c r="J310" s="196" t="n">
        <x:v>0.09999999999999999</x:v>
      </x:c>
      <x:c r="K310" s="195" t="n">
        <x:f>H310*I310</x:f>
        <x:v>56322</x:v>
      </x:c>
      <x:c r="L310" s="195" t="n">
        <x:f>K310*(1-J310)</x:f>
        <x:v>50689.8</x:v>
      </x:c>
      <x:c r="M310" s="195" t="n">
        <x:f>L310*(0.74-IF(E310="Healthy",0.04,IF(E310="Beverages",0.06,IF(E310="Desserts",0.05,IF(E310="North Indian",0.01,0)))))</x:f>
        <x:v>37510.452000000005</x:v>
      </x:c>
      <x:c r="N310" s="195" t="n">
        <x:f>L310-M310</x:f>
        <x:v>13179.347999999998</x:v>
      </x:c>
      <x:c r="O310" s="195" t="n">
        <x:f>L310*0.13</x:f>
        <x:v>6589.674000000001</x:v>
      </x:c>
      <x:c r="P310" s="195" t="n">
        <x:f>N310-O310</x:f>
        <x:v>6589.673999999997</x:v>
      </x:c>
      <x:c r="Q310" s="195" t="n">
        <x:v>53868.427655675856</x:v>
      </x:c>
    </x:row>
    <x:row r="311">
      <x:c r="A311" s="192" t="str">
        <x:v>ZOM-0307</x:v>
      </x:c>
      <x:c r="B311" s="193" t="n">
        <x:v>45964</x:v>
      </x:c>
      <x:c r="C311" s="236" t="str">
        <x:v>North</x:v>
      </x:c>
      <x:c r="D311" s="192" t="str">
        <x:v>Noida</x:v>
      </x:c>
      <x:c r="E311" s="192" t="str">
        <x:v>Biryani</x:v>
      </x:c>
      <x:c r="F311" s="192" t="str">
        <x:v>Corporate</x:v>
      </x:c>
      <x:c r="G311" s="192" t="str">
        <x:v>Corporate Customer 57</x:v>
      </x:c>
      <x:c r="H311" s="194" t="n">
        <x:v>107</x:v>
      </x:c>
      <x:c r="I311" s="195" t="n">
        <x:v>560</x:v>
      </x:c>
      <x:c r="J311" s="196" t="n">
        <x:v>0</x:v>
      </x:c>
      <x:c r="K311" s="195" t="n">
        <x:f>H311*I311</x:f>
        <x:v>59920</x:v>
      </x:c>
      <x:c r="L311" s="195" t="n">
        <x:f>K311*(1-J311)</x:f>
        <x:v>59920</x:v>
      </x:c>
      <x:c r="M311" s="195" t="n">
        <x:f>L311*(0.74-IF(E311="Healthy",0.04,IF(E311="Beverages",0.06,IF(E311="Desserts",0.05,IF(E311="North Indian",0.01,0)))))</x:f>
        <x:v>44340.8</x:v>
      </x:c>
      <x:c r="N311" s="195" t="n">
        <x:f>L311-M311</x:f>
        <x:v>15579.199999999997</x:v>
      </x:c>
      <x:c r="O311" s="195" t="n">
        <x:f>L311*0.13</x:f>
        <x:v>7789.6</x:v>
      </x:c>
      <x:c r="P311" s="195" t="n">
        <x:f>N311-O311</x:f>
        <x:v>7789.599999999997</x:v>
      </x:c>
      <x:c r="Q311" s="195" t="n">
        <x:v>66248.52834576785</x:v>
      </x:c>
    </x:row>
    <x:row r="312">
      <x:c r="A312" s="192" t="str">
        <x:v>ZOM-0308</x:v>
      </x:c>
      <x:c r="B312" s="193" t="n">
        <x:v>45965</x:v>
      </x:c>
      <x:c r="C312" s="236" t="str">
        <x:v>West</x:v>
      </x:c>
      <x:c r="D312" s="192" t="str">
        <x:v>Surat</x:v>
      </x:c>
      <x:c r="E312" s="192" t="str">
        <x:v>Burgers</x:v>
      </x:c>
      <x:c r="F312" s="192" t="str">
        <x:v>Corporate</x:v>
      </x:c>
      <x:c r="G312" s="192" t="str">
        <x:v>Corporate Customer 26</x:v>
      </x:c>
      <x:c r="H312" s="194" t="n">
        <x:v>186</x:v>
      </x:c>
      <x:c r="I312" s="195" t="n">
        <x:v>343</x:v>
      </x:c>
      <x:c r="J312" s="196" t="n">
        <x:v>0.02</x:v>
      </x:c>
      <x:c r="K312" s="195" t="n">
        <x:f>H312*I312</x:f>
        <x:v>63798</x:v>
      </x:c>
      <x:c r="L312" s="195" t="n">
        <x:f>K312*(1-J312)</x:f>
        <x:v>62522.04</x:v>
      </x:c>
      <x:c r="M312" s="195" t="n">
        <x:f>L312*(0.74-IF(E312="Healthy",0.04,IF(E312="Beverages",0.06,IF(E312="Desserts",0.05,IF(E312="North Indian",0.01,0)))))</x:f>
        <x:v>46266.3096</x:v>
      </x:c>
      <x:c r="N312" s="195" t="n">
        <x:f>L312-M312</x:f>
        <x:v>16255.7304</x:v>
      </x:c>
      <x:c r="O312" s="195" t="n">
        <x:f>L312*0.13</x:f>
        <x:v>8127.8652</x:v>
      </x:c>
      <x:c r="P312" s="195" t="n">
        <x:f>N312-O312</x:f>
        <x:v>8127.8652</x:v>
      </x:c>
      <x:c r="Q312" s="195" t="n">
        <x:v>67629.93708796024</x:v>
      </x:c>
    </x:row>
    <x:row r="313">
      <x:c r="A313" s="192" t="str">
        <x:v>ZOM-0309</x:v>
      </x:c>
      <x:c r="B313" s="193" t="n">
        <x:v>45966</x:v>
      </x:c>
      <x:c r="C313" s="236" t="str">
        <x:v>North</x:v>
      </x:c>
      <x:c r="D313" s="192" t="str">
        <x:v>Gurugram</x:v>
      </x:c>
      <x:c r="E313" s="192" t="str">
        <x:v>Burgers</x:v>
      </x:c>
      <x:c r="F313" s="192" t="str">
        <x:v>New User</x:v>
      </x:c>
      <x:c r="G313" s="192" t="str">
        <x:v>New User Customer 18</x:v>
      </x:c>
      <x:c r="H313" s="194" t="n">
        <x:v>139</x:v>
      </x:c>
      <x:c r="I313" s="195" t="n">
        <x:v>499</x:v>
      </x:c>
      <x:c r="J313" s="196" t="n">
        <x:v>0.08</x:v>
      </x:c>
      <x:c r="K313" s="195" t="n">
        <x:f>H313*I313</x:f>
        <x:v>69361</x:v>
      </x:c>
      <x:c r="L313" s="195" t="n">
        <x:f>K313*(1-J313)</x:f>
        <x:v>63812.12</x:v>
      </x:c>
      <x:c r="M313" s="195" t="n">
        <x:f>L313*(0.74-IF(E313="Healthy",0.04,IF(E313="Beverages",0.06,IF(E313="Desserts",0.05,IF(E313="North Indian",0.01,0)))))</x:f>
        <x:v>47220.9688</x:v>
      </x:c>
      <x:c r="N313" s="195" t="n">
        <x:f>L313-M313</x:f>
        <x:v>16591.1512</x:v>
      </x:c>
      <x:c r="O313" s="195" t="n">
        <x:f>L313*0.13</x:f>
        <x:v>8295.5756</x:v>
      </x:c>
      <x:c r="P313" s="195" t="n">
        <x:f>N313-O313</x:f>
        <x:v>8295.5756</x:v>
      </x:c>
      <x:c r="Q313" s="195" t="n">
        <x:v>66132.74948672293</x:v>
      </x:c>
    </x:row>
    <x:row r="314">
      <x:c r="A314" s="192" t="str">
        <x:v>ZOM-0310</x:v>
      </x:c>
      <x:c r="B314" s="193" t="n">
        <x:v>45967</x:v>
      </x:c>
      <x:c r="C314" s="236" t="str">
        <x:v>Metro</x:v>
      </x:c>
      <x:c r="D314" s="192" t="str">
        <x:v>Delhi</x:v>
      </x:c>
      <x:c r="E314" s="192" t="str">
        <x:v>Snacks</x:v>
      </x:c>
      <x:c r="F314" s="192" t="str">
        <x:v>Repeat User</x:v>
      </x:c>
      <x:c r="G314" s="192" t="str">
        <x:v>Repeat User Customer 39</x:v>
      </x:c>
      <x:c r="H314" s="194" t="n">
        <x:v>139</x:v>
      </x:c>
      <x:c r="I314" s="195" t="n">
        <x:v>297</x:v>
      </x:c>
      <x:c r="J314" s="196" t="n">
        <x:v>0.060000000000000005</x:v>
      </x:c>
      <x:c r="K314" s="195" t="n">
        <x:f>H314*I314</x:f>
        <x:v>41283</x:v>
      </x:c>
      <x:c r="L314" s="195" t="n">
        <x:f>K314*(1-J314)</x:f>
        <x:v>38806.02</x:v>
      </x:c>
      <x:c r="M314" s="195" t="n">
        <x:f>L314*(0.74-IF(E314="Healthy",0.04,IF(E314="Beverages",0.06,IF(E314="Desserts",0.05,IF(E314="North Indian",0.01,0)))))</x:f>
        <x:v>28716.454799999996</x:v>
      </x:c>
      <x:c r="N314" s="195" t="n">
        <x:f>L314-M314</x:f>
        <x:v>10089.565200000001</x:v>
      </x:c>
      <x:c r="O314" s="195" t="n">
        <x:f>L314*0.13</x:f>
        <x:v>5044.7826</x:v>
      </x:c>
      <x:c r="P314" s="195" t="n">
        <x:f>N314-O314</x:f>
        <x:v>5044.782600000001</x:v>
      </x:c>
      <x:c r="Q314" s="195" t="n">
        <x:v>42199.8365528792</x:v>
      </x:c>
    </x:row>
    <x:row r="315">
      <x:c r="A315" s="192" t="str">
        <x:v>ZOM-0311</x:v>
      </x:c>
      <x:c r="B315" s="193" t="n">
        <x:v>45968</x:v>
      </x:c>
      <x:c r="C315" s="236" t="str">
        <x:v>East</x:v>
      </x:c>
      <x:c r="D315" s="192" t="str">
        <x:v>Bhubaneswar</x:v>
      </x:c>
      <x:c r="E315" s="192" t="str">
        <x:v>South Indian</x:v>
      </x:c>
      <x:c r="F315" s="192" t="str">
        <x:v>Student</x:v>
      </x:c>
      <x:c r="G315" s="192" t="str">
        <x:v>Student Customer 20</x:v>
      </x:c>
      <x:c r="H315" s="194" t="n">
        <x:v>96</x:v>
      </x:c>
      <x:c r="I315" s="195" t="n">
        <x:v>410</x:v>
      </x:c>
      <x:c r="J315" s="196" t="n">
        <x:v>0.12</x:v>
      </x:c>
      <x:c r="K315" s="195" t="n">
        <x:f>H315*I315</x:f>
        <x:v>39360</x:v>
      </x:c>
      <x:c r="L315" s="195" t="n">
        <x:f>K315*(1-J315)</x:f>
        <x:v>34636.8</x:v>
      </x:c>
      <x:c r="M315" s="195" t="n">
        <x:f>L315*(0.74-IF(E315="Healthy",0.04,IF(E315="Beverages",0.06,IF(E315="Desserts",0.05,IF(E315="North Indian",0.01,0)))))</x:f>
        <x:v>25631.232000000004</x:v>
      </x:c>
      <x:c r="N315" s="195" t="n">
        <x:f>L315-M315</x:f>
        <x:v>9005.568</x:v>
      </x:c>
      <x:c r="O315" s="195" t="n">
        <x:f>L315*0.13</x:f>
        <x:v>4502.784000000001</x:v>
      </x:c>
      <x:c r="P315" s="195" t="n">
        <x:f>N315-O315</x:f>
        <x:v>4502.783999999999</x:v>
      </x:c>
      <x:c r="Q315" s="195" t="n">
        <x:v>35297.55560414383</x:v>
      </x:c>
    </x:row>
    <x:row r="316">
      <x:c r="A316" s="192" t="str">
        <x:v>ZOM-0312</x:v>
      </x:c>
      <x:c r="B316" s="193" t="n">
        <x:v>45969</x:v>
      </x:c>
      <x:c r="C316" s="236" t="str">
        <x:v>East</x:v>
      </x:c>
      <x:c r="D316" s="192" t="str">
        <x:v>Ranchi</x:v>
      </x:c>
      <x:c r="E316" s="192" t="str">
        <x:v>North Indian</x:v>
      </x:c>
      <x:c r="F316" s="192" t="str">
        <x:v>Student</x:v>
      </x:c>
      <x:c r="G316" s="192" t="str">
        <x:v>Student Customer 03</x:v>
      </x:c>
      <x:c r="H316" s="194" t="n">
        <x:v>112</x:v>
      </x:c>
      <x:c r="I316" s="195" t="n">
        <x:v>433</x:v>
      </x:c>
      <x:c r="J316" s="196" t="n">
        <x:v>0.12</x:v>
      </x:c>
      <x:c r="K316" s="195" t="n">
        <x:f>H316*I316</x:f>
        <x:v>48496</x:v>
      </x:c>
      <x:c r="L316" s="195" t="n">
        <x:f>K316*(1-J316)</x:f>
        <x:v>42676.48</x:v>
      </x:c>
      <x:c r="M316" s="195" t="n">
        <x:f>L316*(0.74-IF(E316="Healthy",0.04,IF(E316="Beverages",0.06,IF(E316="Desserts",0.05,IF(E316="North Indian",0.01,0)))))</x:f>
        <x:v>31153.830400000003</x:v>
      </x:c>
      <x:c r="N316" s="195" t="n">
        <x:f>L316-M316</x:f>
        <x:v>11522.6496</x:v>
      </x:c>
      <x:c r="O316" s="195" t="n">
        <x:f>L316*0.13</x:f>
        <x:v>5547.942400000001</x:v>
      </x:c>
      <x:c r="P316" s="195" t="n">
        <x:f>N316-O316</x:f>
        <x:v>5974.7072</x:v>
      </x:c>
      <x:c r="Q316" s="195" t="n">
        <x:v>42971.600743384086</x:v>
      </x:c>
    </x:row>
    <x:row r="317">
      <x:c r="A317" s="192" t="str">
        <x:v>ZOM-0313</x:v>
      </x:c>
      <x:c r="B317" s="193" t="n">
        <x:v>45970</x:v>
      </x:c>
      <x:c r="C317" s="236" t="str">
        <x:v>West</x:v>
      </x:c>
      <x:c r="D317" s="192" t="str">
        <x:v>Ahmedabad</x:v>
      </x:c>
      <x:c r="E317" s="192" t="str">
        <x:v>Desserts</x:v>
      </x:c>
      <x:c r="F317" s="192" t="str">
        <x:v>Repeat User</x:v>
      </x:c>
      <x:c r="G317" s="192" t="str">
        <x:v>Repeat User Customer 29</x:v>
      </x:c>
      <x:c r="H317" s="194" t="n">
        <x:v>160</x:v>
      </x:c>
      <x:c r="I317" s="195" t="n">
        <x:v>290</x:v>
      </x:c>
      <x:c r="J317" s="196" t="n">
        <x:v>0.030000000000000002</x:v>
      </x:c>
      <x:c r="K317" s="195" t="n">
        <x:f>H317*I317</x:f>
        <x:v>46400</x:v>
      </x:c>
      <x:c r="L317" s="195" t="n">
        <x:f>K317*(1-J317)</x:f>
        <x:v>45008</x:v>
      </x:c>
      <x:c r="M317" s="195" t="n">
        <x:f>L317*(0.74-IF(E317="Healthy",0.04,IF(E317="Beverages",0.06,IF(E317="Desserts",0.05,IF(E317="North Indian",0.01,0)))))</x:f>
        <x:v>31055.519999999997</x:v>
      </x:c>
      <x:c r="N317" s="195" t="n">
        <x:f>L317-M317</x:f>
        <x:v>13952.480000000003</x:v>
      </x:c>
      <x:c r="O317" s="195" t="n">
        <x:f>L317*0.13</x:f>
        <x:v>5851.04</x:v>
      </x:c>
      <x:c r="P317" s="195" t="n">
        <x:f>N317-O317</x:f>
        <x:v>8101.440000000003</x:v>
      </x:c>
      <x:c r="Q317" s="195" t="n">
        <x:v>47647.91762622897</x:v>
      </x:c>
    </x:row>
    <x:row r="318">
      <x:c r="A318" s="192" t="str">
        <x:v>ZOM-0314</x:v>
      </x:c>
      <x:c r="B318" s="193" t="n">
        <x:v>45971</x:v>
      </x:c>
      <x:c r="C318" s="236" t="str">
        <x:v>North</x:v>
      </x:c>
      <x:c r="D318" s="192" t="str">
        <x:v>Jaipur</x:v>
      </x:c>
      <x:c r="E318" s="192" t="str">
        <x:v>Chinese</x:v>
      </x:c>
      <x:c r="F318" s="192" t="str">
        <x:v>Repeat User</x:v>
      </x:c>
      <x:c r="G318" s="192" t="str">
        <x:v>Repeat User Customer 25</x:v>
      </x:c>
      <x:c r="H318" s="194" t="n">
        <x:v>102</x:v>
      </x:c>
      <x:c r="I318" s="195" t="n">
        <x:v>519</x:v>
      </x:c>
      <x:c r="J318" s="196" t="n">
        <x:v>0.05</x:v>
      </x:c>
      <x:c r="K318" s="195" t="n">
        <x:f>H318*I318</x:f>
        <x:v>52938</x:v>
      </x:c>
      <x:c r="L318" s="195" t="n">
        <x:f>K318*(1-J318)</x:f>
        <x:v>50291.1</x:v>
      </x:c>
      <x:c r="M318" s="195" t="n">
        <x:f>L318*(0.74-IF(E318="Healthy",0.04,IF(E318="Beverages",0.06,IF(E318="Desserts",0.05,IF(E318="North Indian",0.01,0)))))</x:f>
        <x:v>37215.414</x:v>
      </x:c>
      <x:c r="N318" s="195" t="n">
        <x:f>L318-M318</x:f>
        <x:v>13075.686000000002</x:v>
      </x:c>
      <x:c r="O318" s="195" t="n">
        <x:f>L318*0.13</x:f>
        <x:v>6537.843</x:v>
      </x:c>
      <x:c r="P318" s="195" t="n">
        <x:f>N318-O318</x:f>
        <x:v>6537.843000000002</x:v>
      </x:c>
      <x:c r="Q318" s="195" t="n">
        <x:v>52011.47430206619</x:v>
      </x:c>
    </x:row>
    <x:row r="319">
      <x:c r="A319" s="192" t="str">
        <x:v>ZOM-0315</x:v>
      </x:c>
      <x:c r="B319" s="193" t="n">
        <x:v>45972</x:v>
      </x:c>
      <x:c r="C319" s="236" t="str">
        <x:v>North</x:v>
      </x:c>
      <x:c r="D319" s="192" t="str">
        <x:v>Lucknow</x:v>
      </x:c>
      <x:c r="E319" s="192" t="str">
        <x:v>Desserts</x:v>
      </x:c>
      <x:c r="F319" s="192" t="str">
        <x:v>Repeat User</x:v>
      </x:c>
      <x:c r="G319" s="192" t="str">
        <x:v>Repeat User Customer 50</x:v>
      </x:c>
      <x:c r="H319" s="194" t="n">
        <x:v>111</x:v>
      </x:c>
      <x:c r="I319" s="195" t="n">
        <x:v>308</x:v>
      </x:c>
      <x:c r="J319" s="196" t="n">
        <x:v>0.05</x:v>
      </x:c>
      <x:c r="K319" s="195" t="n">
        <x:f>H319*I319</x:f>
        <x:v>34188</x:v>
      </x:c>
      <x:c r="L319" s="195" t="n">
        <x:f>K319*(1-J319)</x:f>
        <x:v>32478.6</x:v>
      </x:c>
      <x:c r="M319" s="195" t="n">
        <x:f>L319*(0.74-IF(E319="Healthy",0.04,IF(E319="Beverages",0.06,IF(E319="Desserts",0.05,IF(E319="North Indian",0.01,0)))))</x:f>
        <x:v>22410.233999999997</x:v>
      </x:c>
      <x:c r="N319" s="195" t="n">
        <x:f>L319-M319</x:f>
        <x:v>10068.366000000002</x:v>
      </x:c>
      <x:c r="O319" s="195" t="n">
        <x:f>L319*0.13</x:f>
        <x:v>4222.218</x:v>
      </x:c>
      <x:c r="P319" s="195" t="n">
        <x:f>N319-O319</x:f>
        <x:v>5846.148000000002</x:v>
      </x:c>
      <x:c r="Q319" s="195" t="n">
        <x:v>32556.752699794084</x:v>
      </x:c>
    </x:row>
    <x:row r="320">
      <x:c r="A320" s="192" t="str">
        <x:v>ZOM-0316</x:v>
      </x:c>
      <x:c r="B320" s="193" t="n">
        <x:v>45973</x:v>
      </x:c>
      <x:c r="C320" s="236" t="str">
        <x:v>Metro</x:v>
      </x:c>
      <x:c r="D320" s="192" t="str">
        <x:v>Delhi</x:v>
      </x:c>
      <x:c r="E320" s="192" t="str">
        <x:v>South Indian</x:v>
      </x:c>
      <x:c r="F320" s="192" t="str">
        <x:v>New User</x:v>
      </x:c>
      <x:c r="G320" s="192" t="str">
        <x:v>New User Customer 46</x:v>
      </x:c>
      <x:c r="H320" s="194" t="n">
        <x:v>112</x:v>
      </x:c>
      <x:c r="I320" s="195" t="n">
        <x:v>388</x:v>
      </x:c>
      <x:c r="J320" s="196" t="n">
        <x:v>0.06</x:v>
      </x:c>
      <x:c r="K320" s="195" t="n">
        <x:f>H320*I320</x:f>
        <x:v>43456</x:v>
      </x:c>
      <x:c r="L320" s="195" t="n">
        <x:f>K320*(1-J320)</x:f>
        <x:v>40848.64</x:v>
      </x:c>
      <x:c r="M320" s="195" t="n">
        <x:f>L320*(0.74-IF(E320="Healthy",0.04,IF(E320="Beverages",0.06,IF(E320="Desserts",0.05,IF(E320="North Indian",0.01,0)))))</x:f>
        <x:v>30227.993599999998</x:v>
      </x:c>
      <x:c r="N320" s="195" t="n">
        <x:f>L320-M320</x:f>
        <x:v>10620.646400000001</x:v>
      </x:c>
      <x:c r="O320" s="195" t="n">
        <x:f>L320*0.13</x:f>
        <x:v>5310.3232</x:v>
      </x:c>
      <x:c r="P320" s="195" t="n">
        <x:f>N320-O320</x:f>
        <x:v>5310.323200000002</x:v>
      </x:c>
      <x:c r="Q320" s="195" t="n">
        <x:v>45471.09645500962</x:v>
      </x:c>
    </x:row>
    <x:row r="321">
      <x:c r="A321" s="192" t="str">
        <x:v>ZOM-0317</x:v>
      </x:c>
      <x:c r="B321" s="193" t="n">
        <x:v>45974</x:v>
      </x:c>
      <x:c r="C321" s="236" t="str">
        <x:v>Metro</x:v>
      </x:c>
      <x:c r="D321" s="192" t="str">
        <x:v>Bengaluru</x:v>
      </x:c>
      <x:c r="E321" s="192" t="str">
        <x:v>South Indian</x:v>
      </x:c>
      <x:c r="F321" s="192" t="str">
        <x:v>Repeat User</x:v>
      </x:c>
      <x:c r="G321" s="192" t="str">
        <x:v>Repeat User Customer 26</x:v>
      </x:c>
      <x:c r="H321" s="194" t="n">
        <x:v>147</x:v>
      </x:c>
      <x:c r="I321" s="195" t="n">
        <x:v>366</x:v>
      </x:c>
      <x:c r="J321" s="196" t="n">
        <x:v>0.05</x:v>
      </x:c>
      <x:c r="K321" s="195" t="n">
        <x:f>H321*I321</x:f>
        <x:v>53802</x:v>
      </x:c>
      <x:c r="L321" s="195" t="n">
        <x:f>K321*(1-J321)</x:f>
        <x:v>51111.899999999994</x:v>
      </x:c>
      <x:c r="M321" s="195" t="n">
        <x:f>L321*(0.74-IF(E321="Healthy",0.04,IF(E321="Beverages",0.06,IF(E321="Desserts",0.05,IF(E321="North Indian",0.01,0)))))</x:f>
        <x:v>37822.806</x:v>
      </x:c>
      <x:c r="N321" s="195" t="n">
        <x:f>L321-M321</x:f>
        <x:v>13289.093999999997</x:v>
      </x:c>
      <x:c r="O321" s="195" t="n">
        <x:f>L321*0.13</x:f>
        <x:v>6644.547</x:v>
      </x:c>
      <x:c r="P321" s="195" t="n">
        <x:f>N321-O321</x:f>
        <x:v>6644.546999999998</x:v>
      </x:c>
      <x:c r="Q321" s="195" t="n">
        <x:v>56167.75107311117</x:v>
      </x:c>
    </x:row>
    <x:row r="322">
      <x:c r="A322" s="192" t="str">
        <x:v>ZOM-0318</x:v>
      </x:c>
      <x:c r="B322" s="193" t="n">
        <x:v>45975</x:v>
      </x:c>
      <x:c r="C322" s="236" t="str">
        <x:v>West</x:v>
      </x:c>
      <x:c r="D322" s="192" t="str">
        <x:v>Mumbai</x:v>
      </x:c>
      <x:c r="E322" s="192" t="str">
        <x:v>Chinese</x:v>
      </x:c>
      <x:c r="F322" s="192" t="str">
        <x:v>Budget</x:v>
      </x:c>
      <x:c r="G322" s="192" t="str">
        <x:v>Budget Customer 18</x:v>
      </x:c>
      <x:c r="H322" s="194" t="n">
        <x:v>118</x:v>
      </x:c>
      <x:c r="I322" s="195" t="n">
        <x:v>467</x:v>
      </x:c>
      <x:c r="J322" s="196" t="n">
        <x:v>0.1</x:v>
      </x:c>
      <x:c r="K322" s="195" t="n">
        <x:f>H322*I322</x:f>
        <x:v>55106</x:v>
      </x:c>
      <x:c r="L322" s="195" t="n">
        <x:f>K322*(1-J322)</x:f>
        <x:v>49595.4</x:v>
      </x:c>
      <x:c r="M322" s="195" t="n">
        <x:f>L322*(0.74-IF(E322="Healthy",0.04,IF(E322="Beverages",0.06,IF(E322="Desserts",0.05,IF(E322="North Indian",0.01,0)))))</x:f>
        <x:v>36700.596</x:v>
      </x:c>
      <x:c r="N322" s="195" t="n">
        <x:f>L322-M322</x:f>
        <x:v>12894.804000000004</x:v>
      </x:c>
      <x:c r="O322" s="195" t="n">
        <x:f>L322*0.13</x:f>
        <x:v>6447.402</x:v>
      </x:c>
      <x:c r="P322" s="195" t="n">
        <x:f>N322-O322</x:f>
        <x:v>6447.402000000004</x:v>
      </x:c>
      <x:c r="Q322" s="195" t="n">
        <x:v>49975.32290674185</x:v>
      </x:c>
    </x:row>
    <x:row r="323">
      <x:c r="A323" s="192" t="str">
        <x:v>ZOM-0319</x:v>
      </x:c>
      <x:c r="B323" s="193" t="n">
        <x:v>45976</x:v>
      </x:c>
      <x:c r="C323" s="236" t="str">
        <x:v>East</x:v>
      </x:c>
      <x:c r="D323" s="192" t="str">
        <x:v>Patna</x:v>
      </x:c>
      <x:c r="E323" s="192" t="str">
        <x:v>Biryani</x:v>
      </x:c>
      <x:c r="F323" s="192" t="str">
        <x:v>Budget</x:v>
      </x:c>
      <x:c r="G323" s="192" t="str">
        <x:v>Budget Customer 39</x:v>
      </x:c>
      <x:c r="H323" s="194" t="n">
        <x:v>89</x:v>
      </x:c>
      <x:c r="I323" s="195" t="n">
        <x:v>414</x:v>
      </x:c>
      <x:c r="J323" s="196" t="n">
        <x:v>0.1</x:v>
      </x:c>
      <x:c r="K323" s="195" t="n">
        <x:f>H323*I323</x:f>
        <x:v>36846</x:v>
      </x:c>
      <x:c r="L323" s="195" t="n">
        <x:f>K323*(1-J323)</x:f>
        <x:v>33161.4</x:v>
      </x:c>
      <x:c r="M323" s="195" t="n">
        <x:f>L323*(0.74-IF(E323="Healthy",0.04,IF(E323="Beverages",0.06,IF(E323="Desserts",0.05,IF(E323="North Indian",0.01,0)))))</x:f>
        <x:v>24539.436</x:v>
      </x:c>
      <x:c r="N323" s="195" t="n">
        <x:f>L323-M323</x:f>
        <x:v>8621.964</x:v>
      </x:c>
      <x:c r="O323" s="195" t="n">
        <x:f>L323*0.13</x:f>
        <x:v>4310.982</x:v>
      </x:c>
      <x:c r="P323" s="195" t="n">
        <x:f>N323-O323</x:f>
        <x:v>4310.982</x:v>
      </x:c>
      <x:c r="Q323" s="195" t="n">
        <x:v>36354.3006090357</x:v>
      </x:c>
    </x:row>
    <x:row r="324">
      <x:c r="A324" s="192" t="str">
        <x:v>ZOM-0320</x:v>
      </x:c>
      <x:c r="B324" s="193" t="n">
        <x:v>45977</x:v>
      </x:c>
      <x:c r="C324" s="236" t="str">
        <x:v>West</x:v>
      </x:c>
      <x:c r="D324" s="192" t="str">
        <x:v>Ahmedabad</x:v>
      </x:c>
      <x:c r="E324" s="192" t="str">
        <x:v>Burgers</x:v>
      </x:c>
      <x:c r="F324" s="192" t="str">
        <x:v>Budget</x:v>
      </x:c>
      <x:c r="G324" s="192" t="str">
        <x:v>Budget Customer 38</x:v>
      </x:c>
      <x:c r="H324" s="194" t="n">
        <x:v>134</x:v>
      </x:c>
      <x:c r="I324" s="195" t="n">
        <x:v>512</x:v>
      </x:c>
      <x:c r="J324" s="196" t="n">
        <x:v>0.1</x:v>
      </x:c>
      <x:c r="K324" s="195" t="n">
        <x:f>H324*I324</x:f>
        <x:v>68608</x:v>
      </x:c>
      <x:c r="L324" s="195" t="n">
        <x:f>K324*(1-J324)</x:f>
        <x:v>61747.200000000004</x:v>
      </x:c>
      <x:c r="M324" s="195" t="n">
        <x:f>L324*(0.74-IF(E324="Healthy",0.04,IF(E324="Beverages",0.06,IF(E324="Desserts",0.05,IF(E324="North Indian",0.01,0)))))</x:f>
        <x:v>45692.928</x:v>
      </x:c>
      <x:c r="N324" s="195" t="n">
        <x:f>L324-M324</x:f>
        <x:v>16054.272000000004</x:v>
      </x:c>
      <x:c r="O324" s="195" t="n">
        <x:f>L324*0.13</x:f>
        <x:v>8027.136</x:v>
      </x:c>
      <x:c r="P324" s="195" t="n">
        <x:f>N324-O324</x:f>
        <x:v>8027.136000000004</x:v>
      </x:c>
      <x:c r="Q324" s="195" t="n">
        <x:v>67206.1372874723</x:v>
      </x:c>
    </x:row>
    <x:row r="325">
      <x:c r="A325" s="192" t="str">
        <x:v>ZOM-0321</x:v>
      </x:c>
      <x:c r="B325" s="193" t="n">
        <x:v>45978</x:v>
      </x:c>
      <x:c r="C325" s="236" t="str">
        <x:v>East</x:v>
      </x:c>
      <x:c r="D325" s="192" t="str">
        <x:v>Guwahati</x:v>
      </x:c>
      <x:c r="E325" s="192" t="str">
        <x:v>Healthy</x:v>
      </x:c>
      <x:c r="F325" s="192" t="str">
        <x:v>Repeat User</x:v>
      </x:c>
      <x:c r="G325" s="192" t="str">
        <x:v>Repeat User Customer 55</x:v>
      </x:c>
      <x:c r="H325" s="194" t="n">
        <x:v>100</x:v>
      </x:c>
      <x:c r="I325" s="195" t="n">
        <x:v>435</x:v>
      </x:c>
      <x:c r="J325" s="196" t="n">
        <x:v>0.060000000000000005</x:v>
      </x:c>
      <x:c r="K325" s="195" t="n">
        <x:f>H325*I325</x:f>
        <x:v>43500</x:v>
      </x:c>
      <x:c r="L325" s="195" t="n">
        <x:f>K325*(1-J325)</x:f>
        <x:v>40890</x:v>
      </x:c>
      <x:c r="M325" s="195" t="n">
        <x:f>L325*(0.74-IF(E325="Healthy",0.04,IF(E325="Beverages",0.06,IF(E325="Desserts",0.05,IF(E325="North Indian",0.01,0)))))</x:f>
        <x:v>28623</x:v>
      </x:c>
      <x:c r="N325" s="195" t="n">
        <x:f>L325-M325</x:f>
        <x:v>12267</x:v>
      </x:c>
      <x:c r="O325" s="195" t="n">
        <x:f>L325*0.13</x:f>
        <x:v>5315.7</x:v>
      </x:c>
      <x:c r="P325" s="195" t="n">
        <x:f>N325-O325</x:f>
        <x:v>6951.3</x:v>
      </x:c>
      <x:c r="Q325" s="195" t="n">
        <x:v>43379.29253349153</x:v>
      </x:c>
    </x:row>
    <x:row r="326">
      <x:c r="A326" s="192" t="str">
        <x:v>ZOM-0322</x:v>
      </x:c>
      <x:c r="B326" s="193" t="n">
        <x:v>45979</x:v>
      </x:c>
      <x:c r="C326" s="236" t="str">
        <x:v>North</x:v>
      </x:c>
      <x:c r="D326" s="192" t="str">
        <x:v>Lucknow</x:v>
      </x:c>
      <x:c r="E326" s="192" t="str">
        <x:v>Biryani</x:v>
      </x:c>
      <x:c r="F326" s="192" t="str">
        <x:v>New User</x:v>
      </x:c>
      <x:c r="G326" s="192" t="str">
        <x:v>New User Customer 15</x:v>
      </x:c>
      <x:c r="H326" s="194" t="n">
        <x:v>92</x:v>
      </x:c>
      <x:c r="I326" s="195" t="n">
        <x:v>524</x:v>
      </x:c>
      <x:c r="J326" s="196" t="n">
        <x:v>0.08</x:v>
      </x:c>
      <x:c r="K326" s="195" t="n">
        <x:f>H326*I326</x:f>
        <x:v>48208</x:v>
      </x:c>
      <x:c r="L326" s="195" t="n">
        <x:f>K326*(1-J326)</x:f>
        <x:v>44351.36</x:v>
      </x:c>
      <x:c r="M326" s="195" t="n">
        <x:f>L326*(0.74-IF(E326="Healthy",0.04,IF(E326="Beverages",0.06,IF(E326="Desserts",0.05,IF(E326="North Indian",0.01,0)))))</x:f>
        <x:v>32820.0064</x:v>
      </x:c>
      <x:c r="N326" s="195" t="n">
        <x:f>L326-M326</x:f>
        <x:v>11531.353600000002</x:v>
      </x:c>
      <x:c r="O326" s="195" t="n">
        <x:f>L326*0.13</x:f>
        <x:v>5765.6768</x:v>
      </x:c>
      <x:c r="P326" s="195" t="n">
        <x:f>N326-O326</x:f>
        <x:v>5765.676800000002</x:v>
      </x:c>
      <x:c r="Q326" s="195" t="n">
        <x:v>47834.3679809708</x:v>
      </x:c>
    </x:row>
    <x:row r="327">
      <x:c r="A327" s="192" t="str">
        <x:v>ZOM-0323</x:v>
      </x:c>
      <x:c r="B327" s="193" t="n">
        <x:v>45980</x:v>
      </x:c>
      <x:c r="C327" s="236" t="str">
        <x:v>South</x:v>
      </x:c>
      <x:c r="D327" s="192" t="str">
        <x:v>Chennai</x:v>
      </x:c>
      <x:c r="E327" s="192" t="str">
        <x:v>South Indian</x:v>
      </x:c>
      <x:c r="F327" s="192" t="str">
        <x:v>Student</x:v>
      </x:c>
      <x:c r="G327" s="192" t="str">
        <x:v>Student Customer 41</x:v>
      </x:c>
      <x:c r="H327" s="194" t="n">
        <x:v>108</x:v>
      </x:c>
      <x:c r="I327" s="195" t="n">
        <x:v>336</x:v>
      </x:c>
      <x:c r="J327" s="196" t="n">
        <x:v>0.12</x:v>
      </x:c>
      <x:c r="K327" s="195" t="n">
        <x:f>H327*I327</x:f>
        <x:v>36288</x:v>
      </x:c>
      <x:c r="L327" s="195" t="n">
        <x:f>K327*(1-J327)</x:f>
        <x:v>31933.44</x:v>
      </x:c>
      <x:c r="M327" s="195" t="n">
        <x:f>L327*(0.74-IF(E327="Healthy",0.04,IF(E327="Beverages",0.06,IF(E327="Desserts",0.05,IF(E327="North Indian",0.01,0)))))</x:f>
        <x:v>23630.7456</x:v>
      </x:c>
      <x:c r="N327" s="195" t="n">
        <x:f>L327-M327</x:f>
        <x:v>8302.6944</x:v>
      </x:c>
      <x:c r="O327" s="195" t="n">
        <x:f>L327*0.13</x:f>
        <x:v>4151.3472</x:v>
      </x:c>
      <x:c r="P327" s="195" t="n">
        <x:f>N327-O327</x:f>
        <x:v>4151.3472</x:v>
      </x:c>
      <x:c r="Q327" s="195" t="n">
        <x:v>32139.130776350536</x:v>
      </x:c>
    </x:row>
    <x:row r="328">
      <x:c r="A328" s="192" t="str">
        <x:v>ZOM-0324</x:v>
      </x:c>
      <x:c r="B328" s="193" t="n">
        <x:v>45981</x:v>
      </x:c>
      <x:c r="C328" s="236" t="str">
        <x:v>West</x:v>
      </x:c>
      <x:c r="D328" s="192" t="str">
        <x:v>Nagpur</x:v>
      </x:c>
      <x:c r="E328" s="192" t="str">
        <x:v>North Indian</x:v>
      </x:c>
      <x:c r="F328" s="192" t="str">
        <x:v>Student</x:v>
      </x:c>
      <x:c r="G328" s="192" t="str">
        <x:v>Student Customer 10</x:v>
      </x:c>
      <x:c r="H328" s="194" t="n">
        <x:v>129</x:v>
      </x:c>
      <x:c r="I328" s="195" t="n">
        <x:v>453</x:v>
      </x:c>
      <x:c r="J328" s="196" t="n">
        <x:v>0.13</x:v>
      </x:c>
      <x:c r="K328" s="195" t="n">
        <x:f>H328*I328</x:f>
        <x:v>58437</x:v>
      </x:c>
      <x:c r="L328" s="195" t="n">
        <x:f>K328*(1-J328)</x:f>
        <x:v>50840.19</x:v>
      </x:c>
      <x:c r="M328" s="195" t="n">
        <x:f>L328*(0.74-IF(E328="Healthy",0.04,IF(E328="Beverages",0.06,IF(E328="Desserts",0.05,IF(E328="North Indian",0.01,0)))))</x:f>
        <x:v>37113.3387</x:v>
      </x:c>
      <x:c r="N328" s="195" t="n">
        <x:f>L328-M328</x:f>
        <x:v>13726.851300000002</x:v>
      </x:c>
      <x:c r="O328" s="195" t="n">
        <x:f>L328*0.13</x:f>
        <x:v>6609.224700000001</x:v>
      </x:c>
      <x:c r="P328" s="195" t="n">
        <x:f>N328-O328</x:f>
        <x:v>7117.626600000001</x:v>
      </x:c>
      <x:c r="Q328" s="195" t="n">
        <x:v>56153.08632743095</x:v>
      </x:c>
    </x:row>
    <x:row r="329">
      <x:c r="A329" s="192" t="str">
        <x:v>ZOM-0325</x:v>
      </x:c>
      <x:c r="B329" s="193" t="n">
        <x:v>45982</x:v>
      </x:c>
      <x:c r="C329" s="236" t="str">
        <x:v>North</x:v>
      </x:c>
      <x:c r="D329" s="192" t="str">
        <x:v>Noida</x:v>
      </x:c>
      <x:c r="E329" s="192" t="str">
        <x:v>Pizza</x:v>
      </x:c>
      <x:c r="F329" s="192" t="str">
        <x:v>Student</x:v>
      </x:c>
      <x:c r="G329" s="192" t="str">
        <x:v>Student Customer 12</x:v>
      </x:c>
      <x:c r="H329" s="194" t="n">
        <x:v>112</x:v>
      </x:c>
      <x:c r="I329" s="195" t="n">
        <x:v>547</x:v>
      </x:c>
      <x:c r="J329" s="196" t="n">
        <x:v>0.12</x:v>
      </x:c>
      <x:c r="K329" s="195" t="n">
        <x:f>H329*I329</x:f>
        <x:v>61264</x:v>
      </x:c>
      <x:c r="L329" s="195" t="n">
        <x:f>K329*(1-J329)</x:f>
        <x:v>53912.32</x:v>
      </x:c>
      <x:c r="M329" s="195" t="n">
        <x:f>L329*(0.74-IF(E329="Healthy",0.04,IF(E329="Beverages",0.06,IF(E329="Desserts",0.05,IF(E329="North Indian",0.01,0)))))</x:f>
        <x:v>39895.116799999996</x:v>
      </x:c>
      <x:c r="N329" s="195" t="n">
        <x:f>L329-M329</x:f>
        <x:v>14017.203200000004</x:v>
      </x:c>
      <x:c r="O329" s="195" t="n">
        <x:f>L329*0.13</x:f>
        <x:v>7008.6016</x:v>
      </x:c>
      <x:c r="P329" s="195" t="n">
        <x:f>N329-O329</x:f>
        <x:v>7008.601600000004</x:v>
      </x:c>
      <x:c r="Q329" s="195" t="n">
        <x:v>57994.77288984563</x:v>
      </x:c>
    </x:row>
    <x:row r="330">
      <x:c r="A330" s="192" t="str">
        <x:v>ZOM-0326</x:v>
      </x:c>
      <x:c r="B330" s="193" t="n">
        <x:v>45983</x:v>
      </x:c>
      <x:c r="C330" s="236" t="str">
        <x:v>South</x:v>
      </x:c>
      <x:c r="D330" s="192" t="str">
        <x:v>Bengaluru</x:v>
      </x:c>
      <x:c r="E330" s="192" t="str">
        <x:v>North Indian</x:v>
      </x:c>
      <x:c r="F330" s="192" t="str">
        <x:v>Repeat User</x:v>
      </x:c>
      <x:c r="G330" s="192" t="str">
        <x:v>Repeat User Customer 40</x:v>
      </x:c>
      <x:c r="H330" s="194" t="n">
        <x:v>109</x:v>
      </x:c>
      <x:c r="I330" s="195" t="n">
        <x:v>555</x:v>
      </x:c>
      <x:c r="J330" s="196" t="n">
        <x:v>0.05</x:v>
      </x:c>
      <x:c r="K330" s="195" t="n">
        <x:f>H330*I330</x:f>
        <x:v>60495</x:v>
      </x:c>
      <x:c r="L330" s="195" t="n">
        <x:f>K330*(1-J330)</x:f>
        <x:v>57470.25</x:v>
      </x:c>
      <x:c r="M330" s="195" t="n">
        <x:f>L330*(0.74-IF(E330="Healthy",0.04,IF(E330="Beverages",0.06,IF(E330="Desserts",0.05,IF(E330="North Indian",0.01,0)))))</x:f>
        <x:v>41953.2825</x:v>
      </x:c>
      <x:c r="N330" s="195" t="n">
        <x:f>L330-M330</x:f>
        <x:v>15516.967499999999</x:v>
      </x:c>
      <x:c r="O330" s="195" t="n">
        <x:f>L330*0.13</x:f>
        <x:v>7471.132500000001</x:v>
      </x:c>
      <x:c r="P330" s="195" t="n">
        <x:f>N330-O330</x:f>
        <x:v>8045.834999999998</x:v>
      </x:c>
      <x:c r="Q330" s="195" t="n">
        <x:v>58077.42096434019</x:v>
      </x:c>
    </x:row>
    <x:row r="331">
      <x:c r="A331" s="192" t="str">
        <x:v>ZOM-0327</x:v>
      </x:c>
      <x:c r="B331" s="193" t="n">
        <x:v>45984</x:v>
      </x:c>
      <x:c r="C331" s="236" t="str">
        <x:v>West</x:v>
      </x:c>
      <x:c r="D331" s="192" t="str">
        <x:v>Surat</x:v>
      </x:c>
      <x:c r="E331" s="192" t="str">
        <x:v>South Indian</x:v>
      </x:c>
      <x:c r="F331" s="192" t="str">
        <x:v>Student</x:v>
      </x:c>
      <x:c r="G331" s="192" t="str">
        <x:v>Student Customer 49</x:v>
      </x:c>
      <x:c r="H331" s="194" t="n">
        <x:v>114</x:v>
      </x:c>
      <x:c r="I331" s="195" t="n">
        <x:v>296</x:v>
      </x:c>
      <x:c r="J331" s="196" t="n">
        <x:v>0.12</x:v>
      </x:c>
      <x:c r="K331" s="195" t="n">
        <x:f>H331*I331</x:f>
        <x:v>33744</x:v>
      </x:c>
      <x:c r="L331" s="195" t="n">
        <x:f>K331*(1-J331)</x:f>
        <x:v>29694.72</x:v>
      </x:c>
      <x:c r="M331" s="195" t="n">
        <x:f>L331*(0.74-IF(E331="Healthy",0.04,IF(E331="Beverages",0.06,IF(E331="Desserts",0.05,IF(E331="North Indian",0.01,0)))))</x:f>
        <x:v>21974.092800000002</x:v>
      </x:c>
      <x:c r="N331" s="195" t="n">
        <x:f>L331-M331</x:f>
        <x:v>7720.627199999999</x:v>
      </x:c>
      <x:c r="O331" s="195" t="n">
        <x:f>L331*0.13</x:f>
        <x:v>3860.3136000000004</x:v>
      </x:c>
      <x:c r="P331" s="195" t="n">
        <x:f>N331-O331</x:f>
        <x:v>3860.3135999999986</x:v>
      </x:c>
      <x:c r="Q331" s="195" t="n">
        <x:v>32873.26560654147</x:v>
      </x:c>
    </x:row>
    <x:row r="332">
      <x:c r="A332" s="192" t="str">
        <x:v>ZOM-0328</x:v>
      </x:c>
      <x:c r="B332" s="193" t="n">
        <x:v>45985</x:v>
      </x:c>
      <x:c r="C332" s="236" t="str">
        <x:v>Metro</x:v>
      </x:c>
      <x:c r="D332" s="192" t="str">
        <x:v>Mumbai</x:v>
      </x:c>
      <x:c r="E332" s="192" t="str">
        <x:v>North Indian</x:v>
      </x:c>
      <x:c r="F332" s="192" t="str">
        <x:v>New User</x:v>
      </x:c>
      <x:c r="G332" s="192" t="str">
        <x:v>New User Customer 20</x:v>
      </x:c>
      <x:c r="H332" s="194" t="n">
        <x:v>122</x:v>
      </x:c>
      <x:c r="I332" s="195" t="n">
        <x:v>477</x:v>
      </x:c>
      <x:c r="J332" s="196" t="n">
        <x:v>0.08</x:v>
      </x:c>
      <x:c r="K332" s="195" t="n">
        <x:f>H332*I332</x:f>
        <x:v>58194</x:v>
      </x:c>
      <x:c r="L332" s="195" t="n">
        <x:f>K332*(1-J332)</x:f>
        <x:v>53538.48</x:v>
      </x:c>
      <x:c r="M332" s="195" t="n">
        <x:f>L332*(0.74-IF(E332="Healthy",0.04,IF(E332="Beverages",0.06,IF(E332="Desserts",0.05,IF(E332="North Indian",0.01,0)))))</x:f>
        <x:v>39083.0904</x:v>
      </x:c>
      <x:c r="N332" s="195" t="n">
        <x:f>L332-M332</x:f>
        <x:v>14455.389600000002</x:v>
      </x:c>
      <x:c r="O332" s="195" t="n">
        <x:f>L332*0.13</x:f>
        <x:v>6960.0024</x:v>
      </x:c>
      <x:c r="P332" s="195" t="n">
        <x:f>N332-O332</x:f>
        <x:v>7495.387200000002</x:v>
      </x:c>
      <x:c r="Q332" s="195" t="n">
        <x:v>56772.224399684055</x:v>
      </x:c>
    </x:row>
    <x:row r="333">
      <x:c r="A333" s="192" t="str">
        <x:v>ZOM-0329</x:v>
      </x:c>
      <x:c r="B333" s="193" t="n">
        <x:v>45986</x:v>
      </x:c>
      <x:c r="C333" s="236" t="str">
        <x:v>North</x:v>
      </x:c>
      <x:c r="D333" s="192" t="str">
        <x:v>Delhi</x:v>
      </x:c>
      <x:c r="E333" s="192" t="str">
        <x:v>Pizza</x:v>
      </x:c>
      <x:c r="F333" s="192" t="str">
        <x:v>Repeat User</x:v>
      </x:c>
      <x:c r="G333" s="192" t="str">
        <x:v>Repeat User Customer 58</x:v>
      </x:c>
      <x:c r="H333" s="194" t="n">
        <x:v>154</x:v>
      </x:c>
      <x:c r="I333" s="195" t="n">
        <x:v>667</x:v>
      </x:c>
      <x:c r="J333" s="196" t="n">
        <x:v>0.05</x:v>
      </x:c>
      <x:c r="K333" s="195" t="n">
        <x:f>H333*I333</x:f>
        <x:v>102718</x:v>
      </x:c>
      <x:c r="L333" s="195" t="n">
        <x:f>K333*(1-J333)</x:f>
        <x:v>97582.09999999999</x:v>
      </x:c>
      <x:c r="M333" s="195" t="n">
        <x:f>L333*(0.74-IF(E333="Healthy",0.04,IF(E333="Beverages",0.06,IF(E333="Desserts",0.05,IF(E333="North Indian",0.01,0)))))</x:f>
        <x:v>72210.75399999999</x:v>
      </x:c>
      <x:c r="N333" s="195" t="n">
        <x:f>L333-M333</x:f>
        <x:v>25371.346000000005</x:v>
      </x:c>
      <x:c r="O333" s="195" t="n">
        <x:f>L333*0.13</x:f>
        <x:v>12685.672999999999</x:v>
      </x:c>
      <x:c r="P333" s="195" t="n">
        <x:f>N333-O333</x:f>
        <x:v>12685.673000000006</x:v>
      </x:c>
      <x:c r="Q333" s="195" t="n">
        <x:v>99148.75442601016</x:v>
      </x:c>
    </x:row>
    <x:row r="334">
      <x:c r="A334" s="192" t="str">
        <x:v>ZOM-0330</x:v>
      </x:c>
      <x:c r="B334" s="193" t="n">
        <x:v>45987</x:v>
      </x:c>
      <x:c r="C334" s="236" t="str">
        <x:v>West</x:v>
      </x:c>
      <x:c r="D334" s="192" t="str">
        <x:v>Pune</x:v>
      </x:c>
      <x:c r="E334" s="192" t="str">
        <x:v>Biryani</x:v>
      </x:c>
      <x:c r="F334" s="192" t="str">
        <x:v>Student</x:v>
      </x:c>
      <x:c r="G334" s="192" t="str">
        <x:v>Student Customer 38</x:v>
      </x:c>
      <x:c r="H334" s="194" t="n">
        <x:v>116</x:v>
      </x:c>
      <x:c r="I334" s="195" t="n">
        <x:v>381</x:v>
      </x:c>
      <x:c r="J334" s="196" t="n">
        <x:v>0.12</x:v>
      </x:c>
      <x:c r="K334" s="195" t="n">
        <x:f>H334*I334</x:f>
        <x:v>44196</x:v>
      </x:c>
      <x:c r="L334" s="195" t="n">
        <x:f>K334*(1-J334)</x:f>
        <x:v>38892.48</x:v>
      </x:c>
      <x:c r="M334" s="195" t="n">
        <x:f>L334*(0.74-IF(E334="Healthy",0.04,IF(E334="Beverages",0.06,IF(E334="Desserts",0.05,IF(E334="North Indian",0.01,0)))))</x:f>
        <x:v>28780.435200000004</x:v>
      </x:c>
      <x:c r="N334" s="195" t="n">
        <x:f>L334-M334</x:f>
        <x:v>10112.0448</x:v>
      </x:c>
      <x:c r="O334" s="195" t="n">
        <x:f>L334*0.13</x:f>
        <x:v>5056.022400000001</x:v>
      </x:c>
      <x:c r="P334" s="195" t="n">
        <x:f>N334-O334</x:f>
        <x:v>5056.022399999999</x:v>
      </x:c>
      <x:c r="Q334" s="195" t="n">
        <x:v>42318.48722820492</x:v>
      </x:c>
    </x:row>
    <x:row r="335">
      <x:c r="A335" s="192" t="str">
        <x:v>ZOM-0331</x:v>
      </x:c>
      <x:c r="B335" s="193" t="n">
        <x:v>45988</x:v>
      </x:c>
      <x:c r="C335" s="236" t="str">
        <x:v>West</x:v>
      </x:c>
      <x:c r="D335" s="192" t="str">
        <x:v>Mumbai</x:v>
      </x:c>
      <x:c r="E335" s="192" t="str">
        <x:v>Pizza</x:v>
      </x:c>
      <x:c r="F335" s="192" t="str">
        <x:v>Corporate</x:v>
      </x:c>
      <x:c r="G335" s="192" t="str">
        <x:v>Corporate Customer 04</x:v>
      </x:c>
      <x:c r="H335" s="194" t="n">
        <x:v>106</x:v>
      </x:c>
      <x:c r="I335" s="195" t="n">
        <x:v>608</x:v>
      </x:c>
      <x:c r="J335" s="196" t="n">
        <x:v>0.02</x:v>
      </x:c>
      <x:c r="K335" s="195" t="n">
        <x:f>H335*I335</x:f>
        <x:v>64448</x:v>
      </x:c>
      <x:c r="L335" s="195" t="n">
        <x:f>K335*(1-J335)</x:f>
        <x:v>63159.04</x:v>
      </x:c>
      <x:c r="M335" s="195" t="n">
        <x:f>L335*(0.74-IF(E335="Healthy",0.04,IF(E335="Beverages",0.06,IF(E335="Desserts",0.05,IF(E335="North Indian",0.01,0)))))</x:f>
        <x:v>46737.6896</x:v>
      </x:c>
      <x:c r="N335" s="195" t="n">
        <x:f>L335-M335</x:f>
        <x:v>16421.350400000003</x:v>
      </x:c>
      <x:c r="O335" s="195" t="n">
        <x:f>L335*0.13</x:f>
        <x:v>8210.6752</x:v>
      </x:c>
      <x:c r="P335" s="195" t="n">
        <x:f>N335-O335</x:f>
        <x:v>8210.675200000003</x:v>
      </x:c>
      <x:c r="Q335" s="195" t="n">
        <x:v>67660.44087518446</x:v>
      </x:c>
    </x:row>
    <x:row r="336">
      <x:c r="A336" s="192" t="str">
        <x:v>ZOM-0332</x:v>
      </x:c>
      <x:c r="B336" s="193" t="n">
        <x:v>45989</x:v>
      </x:c>
      <x:c r="C336" s="236" t="str">
        <x:v>East</x:v>
      </x:c>
      <x:c r="D336" s="192" t="str">
        <x:v>Kolkata</x:v>
      </x:c>
      <x:c r="E336" s="192" t="str">
        <x:v>North Indian</x:v>
      </x:c>
      <x:c r="F336" s="192" t="str">
        <x:v>New User</x:v>
      </x:c>
      <x:c r="G336" s="192" t="str">
        <x:v>New User Customer 41</x:v>
      </x:c>
      <x:c r="H336" s="194" t="n">
        <x:v>121</x:v>
      </x:c>
      <x:c r="I336" s="195" t="n">
        <x:v>511</x:v>
      </x:c>
      <x:c r="J336" s="196" t="n">
        <x:v>0.08</x:v>
      </x:c>
      <x:c r="K336" s="195" t="n">
        <x:f>H336*I336</x:f>
        <x:v>61831</x:v>
      </x:c>
      <x:c r="L336" s="195" t="n">
        <x:f>K336*(1-J336)</x:f>
        <x:v>56884.520000000004</x:v>
      </x:c>
      <x:c r="M336" s="195" t="n">
        <x:f>L336*(0.74-IF(E336="Healthy",0.04,IF(E336="Beverages",0.06,IF(E336="Desserts",0.05,IF(E336="North Indian",0.01,0)))))</x:f>
        <x:v>41525.6996</x:v>
      </x:c>
      <x:c r="N336" s="195" t="n">
        <x:f>L336-M336</x:f>
        <x:v>15358.820400000004</x:v>
      </x:c>
      <x:c r="O336" s="195" t="n">
        <x:f>L336*0.13</x:f>
        <x:v>7394.9876</x:v>
      </x:c>
      <x:c r="P336" s="195" t="n">
        <x:f>N336-O336</x:f>
        <x:v>7963.832800000004</x:v>
      </x:c>
      <x:c r="Q336" s="195" t="n">
        <x:v>61629.99978680689</x:v>
      </x:c>
    </x:row>
    <x:row r="337">
      <x:c r="A337" s="192" t="str">
        <x:v>ZOM-0333</x:v>
      </x:c>
      <x:c r="B337" s="193" t="n">
        <x:v>45990</x:v>
      </x:c>
      <x:c r="C337" s="236" t="str">
        <x:v>North</x:v>
      </x:c>
      <x:c r="D337" s="192" t="str">
        <x:v>Jaipur</x:v>
      </x:c>
      <x:c r="E337" s="192" t="str">
        <x:v>Burgers</x:v>
      </x:c>
      <x:c r="F337" s="192" t="str">
        <x:v>Budget</x:v>
      </x:c>
      <x:c r="G337" s="192" t="str">
        <x:v>Budget Customer 40</x:v>
      </x:c>
      <x:c r="H337" s="194" t="n">
        <x:v>95</x:v>
      </x:c>
      <x:c r="I337" s="195" t="n">
        <x:v>446</x:v>
      </x:c>
      <x:c r="J337" s="196" t="n">
        <x:v>0.1</x:v>
      </x:c>
      <x:c r="K337" s="195" t="n">
        <x:f>H337*I337</x:f>
        <x:v>42370</x:v>
      </x:c>
      <x:c r="L337" s="195" t="n">
        <x:f>K337*(1-J337)</x:f>
        <x:v>38133</x:v>
      </x:c>
      <x:c r="M337" s="195" t="n">
        <x:f>L337*(0.74-IF(E337="Healthy",0.04,IF(E337="Beverages",0.06,IF(E337="Desserts",0.05,IF(E337="North Indian",0.01,0)))))</x:f>
        <x:v>28218.42</x:v>
      </x:c>
      <x:c r="N337" s="195" t="n">
        <x:f>L337-M337</x:f>
        <x:v>9914.580000000002</x:v>
      </x:c>
      <x:c r="O337" s="195" t="n">
        <x:f>L337*0.13</x:f>
        <x:v>4957.29</x:v>
      </x:c>
      <x:c r="P337" s="195" t="n">
        <x:f>N337-O337</x:f>
        <x:v>4957.290000000002</x:v>
      </x:c>
      <x:c r="Q337" s="195" t="n">
        <x:v>40473.99151947473</x:v>
      </x:c>
    </x:row>
    <x:row r="338">
      <x:c r="A338" s="192" t="str">
        <x:v>ZOM-0334</x:v>
      </x:c>
      <x:c r="B338" s="193" t="n">
        <x:v>45991</x:v>
      </x:c>
      <x:c r="C338" s="236" t="str">
        <x:v>North</x:v>
      </x:c>
      <x:c r="D338" s="192" t="str">
        <x:v>Delhi</x:v>
      </x:c>
      <x:c r="E338" s="192" t="str">
        <x:v>Desserts</x:v>
      </x:c>
      <x:c r="F338" s="192" t="str">
        <x:v>Gold User</x:v>
      </x:c>
      <x:c r="G338" s="192" t="str">
        <x:v>Gold User Customer 27</x:v>
      </x:c>
      <x:c r="H338" s="194" t="n">
        <x:v>185</x:v>
      </x:c>
      <x:c r="I338" s="195" t="n">
        <x:v>254</x:v>
      </x:c>
      <x:c r="J338" s="196" t="n">
        <x:v>0.03</x:v>
      </x:c>
      <x:c r="K338" s="195" t="n">
        <x:f>H338*I338</x:f>
        <x:v>46990</x:v>
      </x:c>
      <x:c r="L338" s="195" t="n">
        <x:f>K338*(1-J338)</x:f>
        <x:v>45580.299999999996</x:v>
      </x:c>
      <x:c r="M338" s="195" t="n">
        <x:f>L338*(0.74-IF(E338="Healthy",0.04,IF(E338="Beverages",0.06,IF(E338="Desserts",0.05,IF(E338="North Indian",0.01,0)))))</x:f>
        <x:v>31450.406999999996</x:v>
      </x:c>
      <x:c r="N338" s="195" t="n">
        <x:f>L338-M338</x:f>
        <x:v>14129.893</x:v>
      </x:c>
      <x:c r="O338" s="195" t="n">
        <x:f>L338*0.13</x:f>
        <x:v>5925.438999999999</x:v>
      </x:c>
      <x:c r="P338" s="195" t="n">
        <x:f>N338-O338</x:f>
        <x:v>8204.454000000002</x:v>
      </x:c>
      <x:c r="Q338" s="195" t="n">
        <x:v>47538.002162384415</x:v>
      </x:c>
    </x:row>
    <x:row r="339">
      <x:c r="A339" s="192" t="str">
        <x:v>ZOM-0335</x:v>
      </x:c>
      <x:c r="B339" s="193" t="n">
        <x:v>45992</x:v>
      </x:c>
      <x:c r="C339" s="236" t="str">
        <x:v>South</x:v>
      </x:c>
      <x:c r="D339" s="192" t="str">
        <x:v>Bengaluru</x:v>
      </x:c>
      <x:c r="E339" s="192" t="str">
        <x:v>Chinese</x:v>
      </x:c>
      <x:c r="F339" s="192" t="str">
        <x:v>Student</x:v>
      </x:c>
      <x:c r="G339" s="192" t="str">
        <x:v>Student Customer 37</x:v>
      </x:c>
      <x:c r="H339" s="194" t="n">
        <x:v>132</x:v>
      </x:c>
      <x:c r="I339" s="195" t="n">
        <x:v>423</x:v>
      </x:c>
      <x:c r="J339" s="196" t="n">
        <x:v>0.09999999999999999</x:v>
      </x:c>
      <x:c r="K339" s="195" t="n">
        <x:f>H339*I339</x:f>
        <x:v>55836</x:v>
      </x:c>
      <x:c r="L339" s="195" t="n">
        <x:f>K339*(1-J339)</x:f>
        <x:v>50252.4</x:v>
      </x:c>
      <x:c r="M339" s="195" t="n">
        <x:f>L339*(0.74-IF(E339="Healthy",0.04,IF(E339="Beverages",0.06,IF(E339="Desserts",0.05,IF(E339="North Indian",0.01,0)))))</x:f>
        <x:v>37186.776</x:v>
      </x:c>
      <x:c r="N339" s="195" t="n">
        <x:f>L339-M339</x:f>
        <x:v>13065.624000000003</x:v>
      </x:c>
      <x:c r="O339" s="195" t="n">
        <x:f>L339*0.13</x:f>
        <x:v>6532.812000000001</x:v>
      </x:c>
      <x:c r="P339" s="195" t="n">
        <x:f>N339-O339</x:f>
        <x:v>6532.812000000003</x:v>
      </x:c>
      <x:c r="Q339" s="195" t="n">
        <x:v>50918.330236064336</x:v>
      </x:c>
    </x:row>
    <x:row r="340">
      <x:c r="A340" s="192" t="str">
        <x:v>ZOM-0336</x:v>
      </x:c>
      <x:c r="B340" s="193" t="n">
        <x:v>45993</x:v>
      </x:c>
      <x:c r="C340" s="236" t="str">
        <x:v>East</x:v>
      </x:c>
      <x:c r="D340" s="192" t="str">
        <x:v>Bhubaneswar</x:v>
      </x:c>
      <x:c r="E340" s="192" t="str">
        <x:v>Snacks</x:v>
      </x:c>
      <x:c r="F340" s="192" t="str">
        <x:v>Budget</x:v>
      </x:c>
      <x:c r="G340" s="192" t="str">
        <x:v>Budget Customer 19</x:v>
      </x:c>
      <x:c r="H340" s="194" t="n">
        <x:v>71</x:v>
      </x:c>
      <x:c r="I340" s="195" t="n">
        <x:v>271</x:v>
      </x:c>
      <x:c r="J340" s="196" t="n">
        <x:v>0.08</x:v>
      </x:c>
      <x:c r="K340" s="195" t="n">
        <x:f>H340*I340</x:f>
        <x:v>19241</x:v>
      </x:c>
      <x:c r="L340" s="195" t="n">
        <x:f>K340*(1-J340)</x:f>
        <x:v>17701.72</x:v>
      </x:c>
      <x:c r="M340" s="195" t="n">
        <x:f>L340*(0.74-IF(E340="Healthy",0.04,IF(E340="Beverages",0.06,IF(E340="Desserts",0.05,IF(E340="North Indian",0.01,0)))))</x:f>
        <x:v>13099.2728</x:v>
      </x:c>
      <x:c r="N340" s="195" t="n">
        <x:f>L340-M340</x:f>
        <x:v>4602.4472000000005</x:v>
      </x:c>
      <x:c r="O340" s="195" t="n">
        <x:f>L340*0.13</x:f>
        <x:v>2301.2236000000003</x:v>
      </x:c>
      <x:c r="P340" s="195" t="n">
        <x:f>N340-O340</x:f>
        <x:v>2301.2236000000003</x:v>
      </x:c>
      <x:c r="Q340" s="195" t="n">
        <x:v>18671.95389605319</x:v>
      </x:c>
    </x:row>
    <x:row r="341">
      <x:c r="A341" s="192" t="str">
        <x:v>ZOM-0337</x:v>
      </x:c>
      <x:c r="B341" s="193" t="n">
        <x:v>45994</x:v>
      </x:c>
      <x:c r="C341" s="236" t="str">
        <x:v>South</x:v>
      </x:c>
      <x:c r="D341" s="192" t="str">
        <x:v>Bengaluru</x:v>
      </x:c>
      <x:c r="E341" s="192" t="str">
        <x:v>North Indian</x:v>
      </x:c>
      <x:c r="F341" s="192" t="str">
        <x:v>New User</x:v>
      </x:c>
      <x:c r="G341" s="192" t="str">
        <x:v>New User Customer 07</x:v>
      </x:c>
      <x:c r="H341" s="194" t="n">
        <x:v>92</x:v>
      </x:c>
      <x:c r="I341" s="195" t="n">
        <x:v>617</x:v>
      </x:c>
      <x:c r="J341" s="196" t="n">
        <x:v>0.08</x:v>
      </x:c>
      <x:c r="K341" s="195" t="n">
        <x:f>H341*I341</x:f>
        <x:v>56764</x:v>
      </x:c>
      <x:c r="L341" s="195" t="n">
        <x:f>K341*(1-J341)</x:f>
        <x:v>52222.880000000005</x:v>
      </x:c>
      <x:c r="M341" s="195" t="n">
        <x:f>L341*(0.74-IF(E341="Healthy",0.04,IF(E341="Beverages",0.06,IF(E341="Desserts",0.05,IF(E341="North Indian",0.01,0)))))</x:f>
        <x:v>38122.7024</x:v>
      </x:c>
      <x:c r="N341" s="195" t="n">
        <x:f>L341-M341</x:f>
        <x:v>14100.177600000003</x:v>
      </x:c>
      <x:c r="O341" s="195" t="n">
        <x:f>L341*0.13</x:f>
        <x:v>6788.974400000001</x:v>
      </x:c>
      <x:c r="P341" s="195" t="n">
        <x:f>N341-O341</x:f>
        <x:v>7311.203200000002</x:v>
      </x:c>
      <x:c r="Q341" s="195" t="n">
        <x:v>56851.123522403774</x:v>
      </x:c>
    </x:row>
    <x:row r="342">
      <x:c r="A342" s="192" t="str">
        <x:v>ZOM-0338</x:v>
      </x:c>
      <x:c r="B342" s="193" t="n">
        <x:v>45995</x:v>
      </x:c>
      <x:c r="C342" s="236" t="str">
        <x:v>Metro</x:v>
      </x:c>
      <x:c r="D342" s="192" t="str">
        <x:v>Delhi</x:v>
      </x:c>
      <x:c r="E342" s="192" t="str">
        <x:v>North Indian</x:v>
      </x:c>
      <x:c r="F342" s="192" t="str">
        <x:v>New User</x:v>
      </x:c>
      <x:c r="G342" s="192" t="str">
        <x:v>New User Customer 24</x:v>
      </x:c>
      <x:c r="H342" s="194" t="n">
        <x:v>120</x:v>
      </x:c>
      <x:c r="I342" s="195" t="n">
        <x:v>500</x:v>
      </x:c>
      <x:c r="J342" s="196" t="n">
        <x:v>0.09</x:v>
      </x:c>
      <x:c r="K342" s="195" t="n">
        <x:f>H342*I342</x:f>
        <x:v>60000</x:v>
      </x:c>
      <x:c r="L342" s="195" t="n">
        <x:f>K342*(1-J342)</x:f>
        <x:v>54600</x:v>
      </x:c>
      <x:c r="M342" s="195" t="n">
        <x:f>L342*(0.74-IF(E342="Healthy",0.04,IF(E342="Beverages",0.06,IF(E342="Desserts",0.05,IF(E342="North Indian",0.01,0)))))</x:f>
        <x:v>39858</x:v>
      </x:c>
      <x:c r="N342" s="195" t="n">
        <x:f>L342-M342</x:f>
        <x:v>14742</x:v>
      </x:c>
      <x:c r="O342" s="195" t="n">
        <x:f>L342*0.13</x:f>
        <x:v>7098</x:v>
      </x:c>
      <x:c r="P342" s="195" t="n">
        <x:f>N342-O342</x:f>
        <x:v>7644</x:v>
      </x:c>
      <x:c r="Q342" s="195" t="n">
        <x:v>59403.06117785736</x:v>
      </x:c>
    </x:row>
    <x:row r="343">
      <x:c r="A343" s="192" t="str">
        <x:v>ZOM-0339</x:v>
      </x:c>
      <x:c r="B343" s="193" t="n">
        <x:v>45996</x:v>
      </x:c>
      <x:c r="C343" s="236" t="str">
        <x:v>Central</x:v>
      </x:c>
      <x:c r="D343" s="192" t="str">
        <x:v>Indore</x:v>
      </x:c>
      <x:c r="E343" s="192" t="str">
        <x:v>North Indian</x:v>
      </x:c>
      <x:c r="F343" s="192" t="str">
        <x:v>Repeat User</x:v>
      </x:c>
      <x:c r="G343" s="192" t="str">
        <x:v>Repeat User Customer 57</x:v>
      </x:c>
      <x:c r="H343" s="194" t="n">
        <x:v>136</x:v>
      </x:c>
      <x:c r="I343" s="195" t="n">
        <x:v>487</x:v>
      </x:c>
      <x:c r="J343" s="196" t="n">
        <x:v>0.060000000000000005</x:v>
      </x:c>
      <x:c r="K343" s="195" t="n">
        <x:f>H343*I343</x:f>
        <x:v>66232</x:v>
      </x:c>
      <x:c r="L343" s="195" t="n">
        <x:f>K343*(1-J343)</x:f>
        <x:v>62258.079999999994</x:v>
      </x:c>
      <x:c r="M343" s="195" t="n">
        <x:f>L343*(0.74-IF(E343="Healthy",0.04,IF(E343="Beverages",0.06,IF(E343="Desserts",0.05,IF(E343="North Indian",0.01,0)))))</x:f>
        <x:v>45448.3984</x:v>
      </x:c>
      <x:c r="N343" s="195" t="n">
        <x:f>L343-M343</x:f>
        <x:v>16809.681599999996</x:v>
      </x:c>
      <x:c r="O343" s="195" t="n">
        <x:f>L343*0.13</x:f>
        <x:v>8093.550399999999</x:v>
      </x:c>
      <x:c r="P343" s="195" t="n">
        <x:f>N343-O343</x:f>
        <x:v>8716.131199999996</x:v>
      </x:c>
      <x:c r="Q343" s="195" t="n">
        <x:v>65408.885385535425</x:v>
      </x:c>
    </x:row>
    <x:row r="344">
      <x:c r="A344" s="192" t="str">
        <x:v>ZOM-0340</x:v>
      </x:c>
      <x:c r="B344" s="193" t="n">
        <x:v>45997</x:v>
      </x:c>
      <x:c r="C344" s="236" t="str">
        <x:v>Central</x:v>
      </x:c>
      <x:c r="D344" s="192" t="str">
        <x:v>Bhopal</x:v>
      </x:c>
      <x:c r="E344" s="192" t="str">
        <x:v>North Indian</x:v>
      </x:c>
      <x:c r="F344" s="192" t="str">
        <x:v>Budget</x:v>
      </x:c>
      <x:c r="G344" s="192" t="str">
        <x:v>Budget Customer 25</x:v>
      </x:c>
      <x:c r="H344" s="194" t="n">
        <x:v>77</x:v>
      </x:c>
      <x:c r="I344" s="195" t="n">
        <x:v>450</x:v>
      </x:c>
      <x:c r="J344" s="196" t="n">
        <x:v>0.11</x:v>
      </x:c>
      <x:c r="K344" s="195" t="n">
        <x:f>H344*I344</x:f>
        <x:v>34650</x:v>
      </x:c>
      <x:c r="L344" s="195" t="n">
        <x:f>K344*(1-J344)</x:f>
        <x:v>30838.5</x:v>
      </x:c>
      <x:c r="M344" s="195" t="n">
        <x:f>L344*(0.74-IF(E344="Healthy",0.04,IF(E344="Beverages",0.06,IF(E344="Desserts",0.05,IF(E344="North Indian",0.01,0)))))</x:f>
        <x:v>22512.105</x:v>
      </x:c>
      <x:c r="N344" s="195" t="n">
        <x:f>L344-M344</x:f>
        <x:v>8326.395</x:v>
      </x:c>
      <x:c r="O344" s="195" t="n">
        <x:f>L344*0.13</x:f>
        <x:v>4009.005</x:v>
      </x:c>
      <x:c r="P344" s="195" t="n">
        <x:f>N344-O344</x:f>
        <x:v>4317.39</x:v>
      </x:c>
      <x:c r="Q344" s="195" t="n">
        <x:v>31509.27645553555</x:v>
      </x:c>
    </x:row>
    <x:row r="345">
      <x:c r="A345" s="192" t="str">
        <x:v>ZOM-0341</x:v>
      </x:c>
      <x:c r="B345" s="193" t="n">
        <x:v>45998</x:v>
      </x:c>
      <x:c r="C345" s="236" t="str">
        <x:v>Central</x:v>
      </x:c>
      <x:c r="D345" s="192" t="str">
        <x:v>Varanasi</x:v>
      </x:c>
      <x:c r="E345" s="192" t="str">
        <x:v>North Indian</x:v>
      </x:c>
      <x:c r="F345" s="192" t="str">
        <x:v>Budget</x:v>
      </x:c>
      <x:c r="G345" s="192" t="str">
        <x:v>Budget Customer 17</x:v>
      </x:c>
      <x:c r="H345" s="194" t="n">
        <x:v>74</x:v>
      </x:c>
      <x:c r="I345" s="195" t="n">
        <x:v>534</x:v>
      </x:c>
      <x:c r="J345" s="196" t="n">
        <x:v>0.11</x:v>
      </x:c>
      <x:c r="K345" s="195" t="n">
        <x:f>H345*I345</x:f>
        <x:v>39516</x:v>
      </x:c>
      <x:c r="L345" s="195" t="n">
        <x:f>K345*(1-J345)</x:f>
        <x:v>35169.24</x:v>
      </x:c>
      <x:c r="M345" s="195" t="n">
        <x:f>L345*(0.74-IF(E345="Healthy",0.04,IF(E345="Beverages",0.06,IF(E345="Desserts",0.05,IF(E345="North Indian",0.01,0)))))</x:f>
        <x:v>25673.545199999997</x:v>
      </x:c>
      <x:c r="N345" s="195" t="n">
        <x:f>L345-M345</x:f>
        <x:v>9495.694800000001</x:v>
      </x:c>
      <x:c r="O345" s="195" t="n">
        <x:f>L345*0.13</x:f>
        <x:v>4572.0012</x:v>
      </x:c>
      <x:c r="P345" s="195" t="n">
        <x:f>N345-O345</x:f>
        <x:v>4923.693600000001</x:v>
      </x:c>
      <x:c r="Q345" s="195" t="n">
        <x:v>35363.25740935628</x:v>
      </x:c>
    </x:row>
    <x:row r="346">
      <x:c r="A346" s="192" t="str">
        <x:v>ZOM-0342</x:v>
      </x:c>
      <x:c r="B346" s="193" t="n">
        <x:v>45999</x:v>
      </x:c>
      <x:c r="C346" s="236" t="str">
        <x:v>East</x:v>
      </x:c>
      <x:c r="D346" s="192" t="str">
        <x:v>Kolkata</x:v>
      </x:c>
      <x:c r="E346" s="192" t="str">
        <x:v>Desserts</x:v>
      </x:c>
      <x:c r="F346" s="192" t="str">
        <x:v>Budget</x:v>
      </x:c>
      <x:c r="G346" s="192" t="str">
        <x:v>Budget Customer 34</x:v>
      </x:c>
      <x:c r="H346" s="194" t="n">
        <x:v>129</x:v>
      </x:c>
      <x:c r="I346" s="195" t="n">
        <x:v>317</x:v>
      </x:c>
      <x:c r="J346" s="196" t="n">
        <x:v>0.1</x:v>
      </x:c>
      <x:c r="K346" s="195" t="n">
        <x:f>H346*I346</x:f>
        <x:v>40893</x:v>
      </x:c>
      <x:c r="L346" s="195" t="n">
        <x:f>K346*(1-J346)</x:f>
        <x:v>36803.700000000004</x:v>
      </x:c>
      <x:c r="M346" s="195" t="n">
        <x:f>L346*(0.74-IF(E346="Healthy",0.04,IF(E346="Beverages",0.06,IF(E346="Desserts",0.05,IF(E346="North Indian",0.01,0)))))</x:f>
        <x:v>25394.553</x:v>
      </x:c>
      <x:c r="N346" s="195" t="n">
        <x:f>L346-M346</x:f>
        <x:v>11409.147000000004</x:v>
      </x:c>
      <x:c r="O346" s="195" t="n">
        <x:f>L346*0.13</x:f>
        <x:v>4784.481000000001</x:v>
      </x:c>
      <x:c r="P346" s="195" t="n">
        <x:f>N346-O346</x:f>
        <x:v>6624.666000000004</x:v>
      </x:c>
      <x:c r="Q346" s="195" t="n">
        <x:v>38297.785839534314</x:v>
      </x:c>
    </x:row>
    <x:row r="347">
      <x:c r="A347" s="192" t="str">
        <x:v>ZOM-0343</x:v>
      </x:c>
      <x:c r="B347" s="193" t="n">
        <x:v>46000</x:v>
      </x:c>
      <x:c r="C347" s="236" t="str">
        <x:v>East</x:v>
      </x:c>
      <x:c r="D347" s="192" t="str">
        <x:v>Guwahati</x:v>
      </x:c>
      <x:c r="E347" s="192" t="str">
        <x:v>North Indian</x:v>
      </x:c>
      <x:c r="F347" s="192" t="str">
        <x:v>Budget</x:v>
      </x:c>
      <x:c r="G347" s="192" t="str">
        <x:v>Budget Customer 40</x:v>
      </x:c>
      <x:c r="H347" s="194" t="n">
        <x:v>91</x:v>
      </x:c>
      <x:c r="I347" s="195" t="n">
        <x:v>534</x:v>
      </x:c>
      <x:c r="J347" s="196" t="n">
        <x:v>0.11</x:v>
      </x:c>
      <x:c r="K347" s="195" t="n">
        <x:f>H347*I347</x:f>
        <x:v>48594</x:v>
      </x:c>
      <x:c r="L347" s="195" t="n">
        <x:f>K347*(1-J347)</x:f>
        <x:v>43248.66</x:v>
      </x:c>
      <x:c r="M347" s="195" t="n">
        <x:f>L347*(0.74-IF(E347="Healthy",0.04,IF(E347="Beverages",0.06,IF(E347="Desserts",0.05,IF(E347="North Indian",0.01,0)))))</x:f>
        <x:v>31571.521800000002</x:v>
      </x:c>
      <x:c r="N347" s="195" t="n">
        <x:f>L347-M347</x:f>
        <x:v>11677.138200000001</x:v>
      </x:c>
      <x:c r="O347" s="195" t="n">
        <x:f>L347*0.13</x:f>
        <x:v>5622.3258000000005</x:v>
      </x:c>
      <x:c r="P347" s="195" t="n">
        <x:f>N347-O347</x:f>
        <x:v>6054.812400000001</x:v>
      </x:c>
      <x:c r="Q347" s="195" t="n">
        <x:v>47878.31772210945</x:v>
      </x:c>
    </x:row>
    <x:row r="348">
      <x:c r="A348" s="192" t="str">
        <x:v>ZOM-0344</x:v>
      </x:c>
      <x:c r="B348" s="193" t="n">
        <x:v>46001</x:v>
      </x:c>
      <x:c r="C348" s="236" t="str">
        <x:v>North</x:v>
      </x:c>
      <x:c r="D348" s="192" t="str">
        <x:v>Noida</x:v>
      </x:c>
      <x:c r="E348" s="192" t="str">
        <x:v>Chinese</x:v>
      </x:c>
      <x:c r="F348" s="192" t="str">
        <x:v>Gold User</x:v>
      </x:c>
      <x:c r="G348" s="192" t="str">
        <x:v>Gold User Customer 18</x:v>
      </x:c>
      <x:c r="H348" s="194" t="n">
        <x:v>182</x:v>
      </x:c>
      <x:c r="I348" s="195" t="n">
        <x:v>525</x:v>
      </x:c>
      <x:c r="J348" s="196" t="n">
        <x:v>0.009999999999999998</x:v>
      </x:c>
      <x:c r="K348" s="195" t="n">
        <x:f>H348*I348</x:f>
        <x:v>95550</x:v>
      </x:c>
      <x:c r="L348" s="195" t="n">
        <x:f>K348*(1-J348)</x:f>
        <x:v>94594.5</x:v>
      </x:c>
      <x:c r="M348" s="195" t="n">
        <x:f>L348*(0.74-IF(E348="Healthy",0.04,IF(E348="Beverages",0.06,IF(E348="Desserts",0.05,IF(E348="North Indian",0.01,0)))))</x:f>
        <x:v>69999.93</x:v>
      </x:c>
      <x:c r="N348" s="195" t="n">
        <x:f>L348-M348</x:f>
        <x:v>24594.570000000007</x:v>
      </x:c>
      <x:c r="O348" s="195" t="n">
        <x:f>L348*0.13</x:f>
        <x:v>12297.285</x:v>
      </x:c>
      <x:c r="P348" s="195" t="n">
        <x:f>N348-O348</x:f>
        <x:v>12297.285000000007</x:v>
      </x:c>
      <x:c r="Q348" s="195" t="n">
        <x:v>98350.5998617073</x:v>
      </x:c>
    </x:row>
    <x:row r="349">
      <x:c r="A349" s="192" t="str">
        <x:v>ZOM-0345</x:v>
      </x:c>
      <x:c r="B349" s="193" t="n">
        <x:v>46002</x:v>
      </x:c>
      <x:c r="C349" s="236" t="str">
        <x:v>North</x:v>
      </x:c>
      <x:c r="D349" s="192" t="str">
        <x:v>Noida</x:v>
      </x:c>
      <x:c r="E349" s="192" t="str">
        <x:v>Chinese</x:v>
      </x:c>
      <x:c r="F349" s="192" t="str">
        <x:v>Repeat User</x:v>
      </x:c>
      <x:c r="G349" s="192" t="str">
        <x:v>Repeat User Customer 29</x:v>
      </x:c>
      <x:c r="H349" s="194" t="n">
        <x:v>123</x:v>
      </x:c>
      <x:c r="I349" s="195" t="n">
        <x:v>376</x:v>
      </x:c>
      <x:c r="J349" s="196" t="n">
        <x:v>0.060000000000000005</x:v>
      </x:c>
      <x:c r="K349" s="195" t="n">
        <x:f>H349*I349</x:f>
        <x:v>46248</x:v>
      </x:c>
      <x:c r="L349" s="195" t="n">
        <x:f>K349*(1-J349)</x:f>
        <x:v>43473.119999999995</x:v>
      </x:c>
      <x:c r="M349" s="195" t="n">
        <x:f>L349*(0.74-IF(E349="Healthy",0.04,IF(E349="Beverages",0.06,IF(E349="Desserts",0.05,IF(E349="North Indian",0.01,0)))))</x:f>
        <x:v>32170.108799999995</x:v>
      </x:c>
      <x:c r="N349" s="195" t="n">
        <x:f>L349-M349</x:f>
        <x:v>11303.0112</x:v>
      </x:c>
      <x:c r="O349" s="195" t="n">
        <x:f>L349*0.13</x:f>
        <x:v>5651.5055999999995</x:v>
      </x:c>
      <x:c r="P349" s="195" t="n">
        <x:f>N349-O349</x:f>
        <x:v>5651.505600000001</x:v>
      </x:c>
      <x:c r="Q349" s="195" t="n">
        <x:v>47941.75273600774</x:v>
      </x:c>
    </x:row>
    <x:row r="350">
      <x:c r="A350" s="192" t="str">
        <x:v>ZOM-0346</x:v>
      </x:c>
      <x:c r="B350" s="193" t="n">
        <x:v>46003</x:v>
      </x:c>
      <x:c r="C350" s="236" t="str">
        <x:v>South</x:v>
      </x:c>
      <x:c r="D350" s="192" t="str">
        <x:v>Kochi</x:v>
      </x:c>
      <x:c r="E350" s="192" t="str">
        <x:v>Desserts</x:v>
      </x:c>
      <x:c r="F350" s="192" t="str">
        <x:v>New User</x:v>
      </x:c>
      <x:c r="G350" s="192" t="str">
        <x:v>New User Customer 41</x:v>
      </x:c>
      <x:c r="H350" s="194" t="n">
        <x:v>148</x:v>
      </x:c>
      <x:c r="I350" s="195" t="n">
        <x:v>279</x:v>
      </x:c>
      <x:c r="J350" s="196" t="n">
        <x:v>0.06</x:v>
      </x:c>
      <x:c r="K350" s="195" t="n">
        <x:f>H350*I350</x:f>
        <x:v>41292</x:v>
      </x:c>
      <x:c r="L350" s="195" t="n">
        <x:f>K350*(1-J350)</x:f>
        <x:v>38814.479999999996</x:v>
      </x:c>
      <x:c r="M350" s="195" t="n">
        <x:f>L350*(0.74-IF(E350="Healthy",0.04,IF(E350="Beverages",0.06,IF(E350="Desserts",0.05,IF(E350="North Indian",0.01,0)))))</x:f>
        <x:v>26781.991199999997</x:v>
      </x:c>
      <x:c r="N350" s="195" t="n">
        <x:f>L350-M350</x:f>
        <x:v>12032.4888</x:v>
      </x:c>
      <x:c r="O350" s="195" t="n">
        <x:f>L350*0.13</x:f>
        <x:v>5045.8823999999995</x:v>
      </x:c>
      <x:c r="P350" s="195" t="n">
        <x:f>N350-O350</x:f>
        <x:v>6986.6064</x:v>
      </x:c>
      <x:c r="Q350" s="195" t="n">
        <x:v>43300.678938352714</x:v>
      </x:c>
    </x:row>
    <x:row r="351">
      <x:c r="A351" s="192" t="str">
        <x:v>ZOM-0347</x:v>
      </x:c>
      <x:c r="B351" s="193" t="n">
        <x:v>46004</x:v>
      </x:c>
      <x:c r="C351" s="236" t="str">
        <x:v>South</x:v>
      </x:c>
      <x:c r="D351" s="192" t="str">
        <x:v>Coimbatore</x:v>
      </x:c>
      <x:c r="E351" s="192" t="str">
        <x:v>Chinese</x:v>
      </x:c>
      <x:c r="F351" s="192" t="str">
        <x:v>Corporate</x:v>
      </x:c>
      <x:c r="G351" s="192" t="str">
        <x:v>Corporate Customer 22</x:v>
      </x:c>
      <x:c r="H351" s="194" t="n">
        <x:v>192</x:v>
      </x:c>
      <x:c r="I351" s="195" t="n">
        <x:v>541</x:v>
      </x:c>
      <x:c r="J351" s="196" t="n">
        <x:v>0.02</x:v>
      </x:c>
      <x:c r="K351" s="195" t="n">
        <x:f>H351*I351</x:f>
        <x:v>103872</x:v>
      </x:c>
      <x:c r="L351" s="195" t="n">
        <x:f>K351*(1-J351)</x:f>
        <x:v>101794.56</x:v>
      </x:c>
      <x:c r="M351" s="195" t="n">
        <x:f>L351*(0.74-IF(E351="Healthy",0.04,IF(E351="Beverages",0.06,IF(E351="Desserts",0.05,IF(E351="North Indian",0.01,0)))))</x:f>
        <x:v>75327.97439999999</x:v>
      </x:c>
      <x:c r="N351" s="195" t="n">
        <x:f>L351-M351</x:f>
        <x:v>26466.585600000006</x:v>
      </x:c>
      <x:c r="O351" s="195" t="n">
        <x:f>L351*0.13</x:f>
        <x:v>13233.2928</x:v>
      </x:c>
      <x:c r="P351" s="195" t="n">
        <x:f>N351-O351</x:f>
        <x:v>13233.292800000007</x:v>
      </x:c>
      <x:c r="Q351" s="195" t="n">
        <x:v>112108.19067178098</x:v>
      </x:c>
    </x:row>
    <x:row r="352">
      <x:c r="A352" s="192" t="str">
        <x:v>ZOM-0348</x:v>
      </x:c>
      <x:c r="B352" s="193" t="n">
        <x:v>46005</x:v>
      </x:c>
      <x:c r="C352" s="236" t="str">
        <x:v>West</x:v>
      </x:c>
      <x:c r="D352" s="192" t="str">
        <x:v>Nagpur</x:v>
      </x:c>
      <x:c r="E352" s="192" t="str">
        <x:v>Chinese</x:v>
      </x:c>
      <x:c r="F352" s="192" t="str">
        <x:v>Budget</x:v>
      </x:c>
      <x:c r="G352" s="192" t="str">
        <x:v>Budget Customer 23</x:v>
      </x:c>
      <x:c r="H352" s="194" t="n">
        <x:v>127</x:v>
      </x:c>
      <x:c r="I352" s="195" t="n">
        <x:v>496</x:v>
      </x:c>
      <x:c r="J352" s="196" t="n">
        <x:v>0.08</x:v>
      </x:c>
      <x:c r="K352" s="195" t="n">
        <x:f>H352*I352</x:f>
        <x:v>62992</x:v>
      </x:c>
      <x:c r="L352" s="195" t="n">
        <x:f>K352*(1-J352)</x:f>
        <x:v>57952.64</x:v>
      </x:c>
      <x:c r="M352" s="195" t="n">
        <x:f>L352*(0.74-IF(E352="Healthy",0.04,IF(E352="Beverages",0.06,IF(E352="Desserts",0.05,IF(E352="North Indian",0.01,0)))))</x:f>
        <x:v>42884.9536</x:v>
      </x:c>
      <x:c r="N352" s="195" t="n">
        <x:f>L352-M352</x:f>
        <x:v>15067.686399999999</x:v>
      </x:c>
      <x:c r="O352" s="195" t="n">
        <x:f>L352*0.13</x:f>
        <x:v>7533.8432</x:v>
      </x:c>
      <x:c r="P352" s="195" t="n">
        <x:f>N352-O352</x:f>
        <x:v>7533.843199999998</x:v>
      </x:c>
      <x:c r="Q352" s="195" t="n">
        <x:v>57967.918270947965</x:v>
      </x:c>
    </x:row>
    <x:row r="353">
      <x:c r="A353" s="192" t="str">
        <x:v>ZOM-0349</x:v>
      </x:c>
      <x:c r="B353" s="193" t="n">
        <x:v>46006</x:v>
      </x:c>
      <x:c r="C353" s="236" t="str">
        <x:v>Central</x:v>
      </x:c>
      <x:c r="D353" s="192" t="str">
        <x:v>Raipur</x:v>
      </x:c>
      <x:c r="E353" s="192" t="str">
        <x:v>Chinese</x:v>
      </x:c>
      <x:c r="F353" s="192" t="str">
        <x:v>Repeat User</x:v>
      </x:c>
      <x:c r="G353" s="192" t="str">
        <x:v>Repeat User Customer 27</x:v>
      </x:c>
      <x:c r="H353" s="194" t="n">
        <x:v>88</x:v>
      </x:c>
      <x:c r="I353" s="195" t="n">
        <x:v>369</x:v>
      </x:c>
      <x:c r="J353" s="196" t="n">
        <x:v>0.05</x:v>
      </x:c>
      <x:c r="K353" s="195" t="n">
        <x:f>H353*I353</x:f>
        <x:v>32472</x:v>
      </x:c>
      <x:c r="L353" s="195" t="n">
        <x:f>K353*(1-J353)</x:f>
        <x:v>30848.399999999998</x:v>
      </x:c>
      <x:c r="M353" s="195" t="n">
        <x:f>L353*(0.74-IF(E353="Healthy",0.04,IF(E353="Beverages",0.06,IF(E353="Desserts",0.05,IF(E353="North Indian",0.01,0)))))</x:f>
        <x:v>22827.816</x:v>
      </x:c>
      <x:c r="N353" s="195" t="n">
        <x:f>L353-M353</x:f>
        <x:v>8020.583999999999</x:v>
      </x:c>
      <x:c r="O353" s="195" t="n">
        <x:f>L353*0.13</x:f>
        <x:v>4010.292</x:v>
      </x:c>
      <x:c r="P353" s="195" t="n">
        <x:f>N353-O353</x:f>
        <x:v>4010.291999999999</x:v>
      </x:c>
      <x:c r="Q353" s="195" t="n">
        <x:v>33597.03275408197</x:v>
      </x:c>
    </x:row>
    <x:row r="354">
      <x:c r="A354" s="192" t="str">
        <x:v>ZOM-0350</x:v>
      </x:c>
      <x:c r="B354" s="193" t="n">
        <x:v>46007</x:v>
      </x:c>
      <x:c r="C354" s="236" t="str">
        <x:v>North</x:v>
      </x:c>
      <x:c r="D354" s="192" t="str">
        <x:v>Lucknow</x:v>
      </x:c>
      <x:c r="E354" s="192" t="str">
        <x:v>Biryani</x:v>
      </x:c>
      <x:c r="F354" s="192" t="str">
        <x:v>New User</x:v>
      </x:c>
      <x:c r="G354" s="192" t="str">
        <x:v>New User Customer 60</x:v>
      </x:c>
      <x:c r="H354" s="194" t="n">
        <x:v>139</x:v>
      </x:c>
      <x:c r="I354" s="195" t="n">
        <x:v>420</x:v>
      </x:c>
      <x:c r="J354" s="196" t="n">
        <x:v>0.08</x:v>
      </x:c>
      <x:c r="K354" s="195" t="n">
        <x:f>H354*I354</x:f>
        <x:v>58380</x:v>
      </x:c>
      <x:c r="L354" s="195" t="n">
        <x:f>K354*(1-J354)</x:f>
        <x:v>53709.600000000006</x:v>
      </x:c>
      <x:c r="M354" s="195" t="n">
        <x:f>L354*(0.74-IF(E354="Healthy",0.04,IF(E354="Beverages",0.06,IF(E354="Desserts",0.05,IF(E354="North Indian",0.01,0)))))</x:f>
        <x:v>39745.10400000001</x:v>
      </x:c>
      <x:c r="N354" s="195" t="n">
        <x:f>L354-M354</x:f>
        <x:v>13964.496</x:v>
      </x:c>
      <x:c r="O354" s="195" t="n">
        <x:f>L354*0.13</x:f>
        <x:v>6982.248000000001</x:v>
      </x:c>
      <x:c r="P354" s="195" t="n">
        <x:f>N354-O354</x:f>
        <x:v>6982.247999999998</x:v>
      </x:c>
      <x:c r="Q354" s="195" t="n">
        <x:v>56380.92437384455</x:v>
      </x:c>
    </x:row>
    <x:row r="355">
      <x:c r="A355" s="192" t="str">
        <x:v>ZOM-0351</x:v>
      </x:c>
      <x:c r="B355" s="193" t="n">
        <x:v>46008</x:v>
      </x:c>
      <x:c r="C355" s="236" t="str">
        <x:v>East</x:v>
      </x:c>
      <x:c r="D355" s="192" t="str">
        <x:v>Guwahati</x:v>
      </x:c>
      <x:c r="E355" s="192" t="str">
        <x:v>North Indian</x:v>
      </x:c>
      <x:c r="F355" s="192" t="str">
        <x:v>Student</x:v>
      </x:c>
      <x:c r="G355" s="192" t="str">
        <x:v>Student Customer 36</x:v>
      </x:c>
      <x:c r="H355" s="194" t="n">
        <x:v>110</x:v>
      </x:c>
      <x:c r="I355" s="195" t="n">
        <x:v>574</x:v>
      </x:c>
      <x:c r="J355" s="196" t="n">
        <x:v>0.12</x:v>
      </x:c>
      <x:c r="K355" s="195" t="n">
        <x:f>H355*I355</x:f>
        <x:v>63140</x:v>
      </x:c>
      <x:c r="L355" s="195" t="n">
        <x:f>K355*(1-J355)</x:f>
        <x:v>55563.2</x:v>
      </x:c>
      <x:c r="M355" s="195" t="n">
        <x:f>L355*(0.74-IF(E355="Healthy",0.04,IF(E355="Beverages",0.06,IF(E355="Desserts",0.05,IF(E355="North Indian",0.01,0)))))</x:f>
        <x:v>40561.136</x:v>
      </x:c>
      <x:c r="N355" s="195" t="n">
        <x:f>L355-M355</x:f>
        <x:v>15002.063999999998</x:v>
      </x:c>
      <x:c r="O355" s="195" t="n">
        <x:f>L355*0.13</x:f>
        <x:v>7223.215999999999</x:v>
      </x:c>
      <x:c r="P355" s="195" t="n">
        <x:f>N355-O355</x:f>
        <x:v>7778.847999999999</x:v>
      </x:c>
      <x:c r="Q355" s="195" t="n">
        <x:v>60471.968222332594</x:v>
      </x:c>
    </x:row>
    <x:row r="356">
      <x:c r="A356" s="192" t="str">
        <x:v>ZOM-0352</x:v>
      </x:c>
      <x:c r="B356" s="193" t="n">
        <x:v>46009</x:v>
      </x:c>
      <x:c r="C356" s="236" t="str">
        <x:v>Metro</x:v>
      </x:c>
      <x:c r="D356" s="192" t="str">
        <x:v>Pune</x:v>
      </x:c>
      <x:c r="E356" s="192" t="str">
        <x:v>South Indian</x:v>
      </x:c>
      <x:c r="F356" s="192" t="str">
        <x:v>Gold User</x:v>
      </x:c>
      <x:c r="G356" s="192" t="str">
        <x:v>Gold User Customer 39</x:v>
      </x:c>
      <x:c r="H356" s="194" t="n">
        <x:v>143</x:v>
      </x:c>
      <x:c r="I356" s="195" t="n">
        <x:v>402</x:v>
      </x:c>
      <x:c r="J356" s="196" t="n">
        <x:v>0.03</x:v>
      </x:c>
      <x:c r="K356" s="195" t="n">
        <x:f>H356*I356</x:f>
        <x:v>57486</x:v>
      </x:c>
      <x:c r="L356" s="195" t="n">
        <x:f>K356*(1-J356)</x:f>
        <x:v>55761.42</x:v>
      </x:c>
      <x:c r="M356" s="195" t="n">
        <x:f>L356*(0.74-IF(E356="Healthy",0.04,IF(E356="Beverages",0.06,IF(E356="Desserts",0.05,IF(E356="North Indian",0.01,0)))))</x:f>
        <x:v>41263.4508</x:v>
      </x:c>
      <x:c r="N356" s="195" t="n">
        <x:f>L356-M356</x:f>
        <x:v>14497.9692</x:v>
      </x:c>
      <x:c r="O356" s="195" t="n">
        <x:f>L356*0.13</x:f>
        <x:v>7248.9846</x:v>
      </x:c>
      <x:c r="P356" s="195" t="n">
        <x:f>N356-O356</x:f>
        <x:v>7248.9846</x:v>
      </x:c>
      <x:c r="Q356" s="195" t="n">
        <x:v>58353.694225592015</x:v>
      </x:c>
    </x:row>
    <x:row r="357">
      <x:c r="A357" s="192" t="str">
        <x:v>ZOM-0353</x:v>
      </x:c>
      <x:c r="B357" s="193" t="n">
        <x:v>46010</x:v>
      </x:c>
      <x:c r="C357" s="236" t="str">
        <x:v>West</x:v>
      </x:c>
      <x:c r="D357" s="192" t="str">
        <x:v>Ahmedabad</x:v>
      </x:c>
      <x:c r="E357" s="192" t="str">
        <x:v>Chinese</x:v>
      </x:c>
      <x:c r="F357" s="192" t="str">
        <x:v>Repeat User</x:v>
      </x:c>
      <x:c r="G357" s="192" t="str">
        <x:v>Repeat User Customer 29</x:v>
      </x:c>
      <x:c r="H357" s="194" t="n">
        <x:v>198</x:v>
      </x:c>
      <x:c r="I357" s="195" t="n">
        <x:v>534</x:v>
      </x:c>
      <x:c r="J357" s="196" t="n">
        <x:v>0.05</x:v>
      </x:c>
      <x:c r="K357" s="195" t="n">
        <x:f>H357*I357</x:f>
        <x:v>105732</x:v>
      </x:c>
      <x:c r="L357" s="195" t="n">
        <x:f>K357*(1-J357)</x:f>
        <x:v>100445.4</x:v>
      </x:c>
      <x:c r="M357" s="195" t="n">
        <x:f>L357*(0.74-IF(E357="Healthy",0.04,IF(E357="Beverages",0.06,IF(E357="Desserts",0.05,IF(E357="North Indian",0.01,0)))))</x:f>
        <x:v>74329.59599999999</x:v>
      </x:c>
      <x:c r="N357" s="195" t="n">
        <x:f>L357-M357</x:f>
        <x:v>26115.804000000004</x:v>
      </x:c>
      <x:c r="O357" s="195" t="n">
        <x:f>L357*0.13</x:f>
        <x:v>13057.902</x:v>
      </x:c>
      <x:c r="P357" s="195" t="n">
        <x:f>N357-O357</x:f>
        <x:v>13057.902000000004</x:v>
      </x:c>
      <x:c r="Q357" s="195" t="n">
        <x:v>112143.17063664971</x:v>
      </x:c>
    </x:row>
    <x:row r="358">
      <x:c r="A358" s="192" t="str">
        <x:v>ZOM-0354</x:v>
      </x:c>
      <x:c r="B358" s="193" t="n">
        <x:v>46011</x:v>
      </x:c>
      <x:c r="C358" s="236" t="str">
        <x:v>Central</x:v>
      </x:c>
      <x:c r="D358" s="192" t="str">
        <x:v>Indore</x:v>
      </x:c>
      <x:c r="E358" s="192" t="str">
        <x:v>South Indian</x:v>
      </x:c>
      <x:c r="F358" s="192" t="str">
        <x:v>Budget</x:v>
      </x:c>
      <x:c r="G358" s="192" t="str">
        <x:v>Budget Customer 13</x:v>
      </x:c>
      <x:c r="H358" s="194" t="n">
        <x:v>116</x:v>
      </x:c>
      <x:c r="I358" s="195" t="n">
        <x:v>341</x:v>
      </x:c>
      <x:c r="J358" s="196" t="n">
        <x:v>0.1</x:v>
      </x:c>
      <x:c r="K358" s="195" t="n">
        <x:f>H358*I358</x:f>
        <x:v>39556</x:v>
      </x:c>
      <x:c r="L358" s="195" t="n">
        <x:f>K358*(1-J358)</x:f>
        <x:v>35600.4</x:v>
      </x:c>
      <x:c r="M358" s="195" t="n">
        <x:f>L358*(0.74-IF(E358="Healthy",0.04,IF(E358="Beverages",0.06,IF(E358="Desserts",0.05,IF(E358="North Indian",0.01,0)))))</x:f>
        <x:v>26344.296000000002</x:v>
      </x:c>
      <x:c r="N358" s="195" t="n">
        <x:f>L358-M358</x:f>
        <x:v>9256.104</x:v>
      </x:c>
      <x:c r="O358" s="195" t="n">
        <x:f>L358*0.13</x:f>
        <x:v>4628.052000000001</x:v>
      </x:c>
      <x:c r="P358" s="195" t="n">
        <x:f>N358-O358</x:f>
        <x:v>4628.051999999999</x:v>
      </x:c>
      <x:c r="Q358" s="195" t="n">
        <x:v>38302.82615541269</x:v>
      </x:c>
    </x:row>
    <x:row r="359">
      <x:c r="A359" s="192" t="str">
        <x:v>ZOM-0355</x:v>
      </x:c>
      <x:c r="B359" s="193" t="n">
        <x:v>46012</x:v>
      </x:c>
      <x:c r="C359" s="236" t="str">
        <x:v>South</x:v>
      </x:c>
      <x:c r="D359" s="192" t="str">
        <x:v>Chennai</x:v>
      </x:c>
      <x:c r="E359" s="192" t="str">
        <x:v>Burgers</x:v>
      </x:c>
      <x:c r="F359" s="192" t="str">
        <x:v>Student</x:v>
      </x:c>
      <x:c r="G359" s="192" t="str">
        <x:v>Student Customer 08</x:v>
      </x:c>
      <x:c r="H359" s="194" t="n">
        <x:v>87</x:v>
      </x:c>
      <x:c r="I359" s="195" t="n">
        <x:v>509</x:v>
      </x:c>
      <x:c r="J359" s="196" t="n">
        <x:v>0.12</x:v>
      </x:c>
      <x:c r="K359" s="195" t="n">
        <x:f>H359*I359</x:f>
        <x:v>44283</x:v>
      </x:c>
      <x:c r="L359" s="195" t="n">
        <x:f>K359*(1-J359)</x:f>
        <x:v>38969.04</x:v>
      </x:c>
      <x:c r="M359" s="195" t="n">
        <x:f>L359*(0.74-IF(E359="Healthy",0.04,IF(E359="Beverages",0.06,IF(E359="Desserts",0.05,IF(E359="North Indian",0.01,0)))))</x:f>
        <x:v>28837.0896</x:v>
      </x:c>
      <x:c r="N359" s="195" t="n">
        <x:f>L359-M359</x:f>
        <x:v>10131.950400000002</x:v>
      </x:c>
      <x:c r="O359" s="195" t="n">
        <x:f>L359*0.13</x:f>
        <x:v>5065.9752</x:v>
      </x:c>
      <x:c r="P359" s="195" t="n">
        <x:f>N359-O359</x:f>
        <x:v>5065.975200000002</x:v>
      </x:c>
      <x:c r="Q359" s="195" t="n">
        <x:v>40476.58722852917</x:v>
      </x:c>
    </x:row>
    <x:row r="360">
      <x:c r="A360" s="192" t="str">
        <x:v>ZOM-0356</x:v>
      </x:c>
      <x:c r="B360" s="193" t="n">
        <x:v>46013</x:v>
      </x:c>
      <x:c r="C360" s="236" t="str">
        <x:v>Central</x:v>
      </x:c>
      <x:c r="D360" s="192" t="str">
        <x:v>Varanasi</x:v>
      </x:c>
      <x:c r="E360" s="192" t="str">
        <x:v>South Indian</x:v>
      </x:c>
      <x:c r="F360" s="192" t="str">
        <x:v>Corporate</x:v>
      </x:c>
      <x:c r="G360" s="192" t="str">
        <x:v>Corporate Customer 07</x:v>
      </x:c>
      <x:c r="H360" s="194" t="n">
        <x:v>150</x:v>
      </x:c>
      <x:c r="I360" s="195" t="n">
        <x:v>400</x:v>
      </x:c>
      <x:c r="J360" s="196" t="n">
        <x:v>0.02</x:v>
      </x:c>
      <x:c r="K360" s="195" t="n">
        <x:f>H360*I360</x:f>
        <x:v>60000</x:v>
      </x:c>
      <x:c r="L360" s="195" t="n">
        <x:f>K360*(1-J360)</x:f>
        <x:v>58800</x:v>
      </x:c>
      <x:c r="M360" s="195" t="n">
        <x:f>L360*(0.74-IF(E360="Healthy",0.04,IF(E360="Beverages",0.06,IF(E360="Desserts",0.05,IF(E360="North Indian",0.01,0)))))</x:f>
        <x:v>43512</x:v>
      </x:c>
      <x:c r="N360" s="195" t="n">
        <x:f>L360-M360</x:f>
        <x:v>15288</x:v>
      </x:c>
      <x:c r="O360" s="195" t="n">
        <x:f>L360*0.13</x:f>
        <x:v>7644</x:v>
      </x:c>
      <x:c r="P360" s="195" t="n">
        <x:f>N360-O360</x:f>
        <x:v>7644</x:v>
      </x:c>
      <x:c r="Q360" s="195" t="n">
        <x:v>58890.1087545781</x:v>
      </x:c>
    </x:row>
    <x:row r="361">
      <x:c r="A361" s="192" t="str">
        <x:v>ZOM-0357</x:v>
      </x:c>
      <x:c r="B361" s="193" t="n">
        <x:v>46014</x:v>
      </x:c>
      <x:c r="C361" s="236" t="str">
        <x:v>North</x:v>
      </x:c>
      <x:c r="D361" s="192" t="str">
        <x:v>Noida</x:v>
      </x:c>
      <x:c r="E361" s="192" t="str">
        <x:v>North Indian</x:v>
      </x:c>
      <x:c r="F361" s="192" t="str">
        <x:v>New User</x:v>
      </x:c>
      <x:c r="G361" s="192" t="str">
        <x:v>New User Customer 04</x:v>
      </x:c>
      <x:c r="H361" s="194" t="n">
        <x:v>121</x:v>
      </x:c>
      <x:c r="I361" s="195" t="n">
        <x:v>594</x:v>
      </x:c>
      <x:c r="J361" s="196" t="n">
        <x:v>0.08</x:v>
      </x:c>
      <x:c r="K361" s="195" t="n">
        <x:f>H361*I361</x:f>
        <x:v>71874</x:v>
      </x:c>
      <x:c r="L361" s="195" t="n">
        <x:f>K361*(1-J361)</x:f>
        <x:v>66124.08</x:v>
      </x:c>
      <x:c r="M361" s="195" t="n">
        <x:f>L361*(0.74-IF(E361="Healthy",0.04,IF(E361="Beverages",0.06,IF(E361="Desserts",0.05,IF(E361="North Indian",0.01,0)))))</x:f>
        <x:v>48270.5784</x:v>
      </x:c>
      <x:c r="N361" s="195" t="n">
        <x:f>L361-M361</x:f>
        <x:v>17853.501600000003</x:v>
      </x:c>
      <x:c r="O361" s="195" t="n">
        <x:f>L361*0.13</x:f>
        <x:v>8596.1304</x:v>
      </x:c>
      <x:c r="P361" s="195" t="n">
        <x:f>N361-O361</x:f>
        <x:v>9257.371200000003</x:v>
      </x:c>
      <x:c r="Q361" s="195" t="n">
        <x:v>67285.97311007215</x:v>
      </x:c>
    </x:row>
    <x:row r="362">
      <x:c r="A362" s="192" t="str">
        <x:v>ZOM-0358</x:v>
      </x:c>
      <x:c r="B362" s="193" t="n">
        <x:v>46015</x:v>
      </x:c>
      <x:c r="C362" s="236" t="str">
        <x:v>East</x:v>
      </x:c>
      <x:c r="D362" s="192" t="str">
        <x:v>Patna</x:v>
      </x:c>
      <x:c r="E362" s="192" t="str">
        <x:v>Biryani</x:v>
      </x:c>
      <x:c r="F362" s="192" t="str">
        <x:v>Gold User</x:v>
      </x:c>
      <x:c r="G362" s="192" t="str">
        <x:v>Gold User Customer 15</x:v>
      </x:c>
      <x:c r="H362" s="194" t="n">
        <x:v>142</x:v>
      </x:c>
      <x:c r="I362" s="195" t="n">
        <x:v>538</x:v>
      </x:c>
      <x:c r="J362" s="196" t="n">
        <x:v>0.009999999999999998</x:v>
      </x:c>
      <x:c r="K362" s="195" t="n">
        <x:f>H362*I362</x:f>
        <x:v>76396</x:v>
      </x:c>
      <x:c r="L362" s="195" t="n">
        <x:f>K362*(1-J362)</x:f>
        <x:v>75632.04</x:v>
      </x:c>
      <x:c r="M362" s="195" t="n">
        <x:f>L362*(0.74-IF(E362="Healthy",0.04,IF(E362="Beverages",0.06,IF(E362="Desserts",0.05,IF(E362="North Indian",0.01,0)))))</x:f>
        <x:v>55967.709599999995</x:v>
      </x:c>
      <x:c r="N362" s="195" t="n">
        <x:f>L362-M362</x:f>
        <x:v>19664.3304</x:v>
      </x:c>
      <x:c r="O362" s="195" t="n">
        <x:f>L362*0.13</x:f>
        <x:v>9832.1652</x:v>
      </x:c>
      <x:c r="P362" s="195" t="n">
        <x:f>N362-O362</x:f>
        <x:v>9832.1652</x:v>
      </x:c>
      <x:c r="Q362" s="195" t="n">
        <x:v>80731.6209044898</x:v>
      </x:c>
    </x:row>
    <x:row r="363">
      <x:c r="A363" s="192" t="str">
        <x:v>ZOM-0359</x:v>
      </x:c>
      <x:c r="B363" s="193" t="n">
        <x:v>46016</x:v>
      </x:c>
      <x:c r="C363" s="236" t="str">
        <x:v>Central</x:v>
      </x:c>
      <x:c r="D363" s="192" t="str">
        <x:v>Varanasi</x:v>
      </x:c>
      <x:c r="E363" s="192" t="str">
        <x:v>Pizza</x:v>
      </x:c>
      <x:c r="F363" s="192" t="str">
        <x:v>Gold User</x:v>
      </x:c>
      <x:c r="G363" s="192" t="str">
        <x:v>Gold User Customer 44</x:v>
      </x:c>
      <x:c r="H363" s="194" t="n">
        <x:v>125</x:v>
      </x:c>
      <x:c r="I363" s="195" t="n">
        <x:v>693</x:v>
      </x:c>
      <x:c r="J363" s="196" t="n">
        <x:v>0.009999999999999998</x:v>
      </x:c>
      <x:c r="K363" s="195" t="n">
        <x:f>H363*I363</x:f>
        <x:v>86625</x:v>
      </x:c>
      <x:c r="L363" s="195" t="n">
        <x:f>K363*(1-J363)</x:f>
        <x:v>85758.75</x:v>
      </x:c>
      <x:c r="M363" s="195" t="n">
        <x:f>L363*(0.74-IF(E363="Healthy",0.04,IF(E363="Beverages",0.06,IF(E363="Desserts",0.05,IF(E363="North Indian",0.01,0)))))</x:f>
        <x:v>63461.475</x:v>
      </x:c>
      <x:c r="N363" s="195" t="n">
        <x:f>L363-M363</x:f>
        <x:v>22297.275</x:v>
      </x:c>
      <x:c r="O363" s="195" t="n">
        <x:f>L363*0.13</x:f>
        <x:v>11148.6375</x:v>
      </x:c>
      <x:c r="P363" s="195" t="n">
        <x:f>N363-O363</x:f>
        <x:v>11148.6375</x:v>
      </x:c>
      <x:c r="Q363" s="195" t="n">
        <x:v>95604.21780849021</x:v>
      </x:c>
    </x:row>
    <x:row r="364">
      <x:c r="A364" s="192" t="str">
        <x:v>ZOM-0360</x:v>
      </x:c>
      <x:c r="B364" s="193" t="n">
        <x:v>46017</x:v>
      </x:c>
      <x:c r="C364" s="236" t="str">
        <x:v>South</x:v>
      </x:c>
      <x:c r="D364" s="192" t="str">
        <x:v>Coimbatore</x:v>
      </x:c>
      <x:c r="E364" s="192" t="str">
        <x:v>North Indian</x:v>
      </x:c>
      <x:c r="F364" s="192" t="str">
        <x:v>Budget</x:v>
      </x:c>
      <x:c r="G364" s="192" t="str">
        <x:v>Budget Customer 42</x:v>
      </x:c>
      <x:c r="H364" s="194" t="n">
        <x:v>100</x:v>
      </x:c>
      <x:c r="I364" s="195" t="n">
        <x:v>565</x:v>
      </x:c>
      <x:c r="J364" s="196" t="n">
        <x:v>0.11</x:v>
      </x:c>
      <x:c r="K364" s="195" t="n">
        <x:f>H364*I364</x:f>
        <x:v>56500</x:v>
      </x:c>
      <x:c r="L364" s="195" t="n">
        <x:f>K364*(1-J364)</x:f>
        <x:v>50285</x:v>
      </x:c>
      <x:c r="M364" s="195" t="n">
        <x:f>L364*(0.74-IF(E364="Healthy",0.04,IF(E364="Beverages",0.06,IF(E364="Desserts",0.05,IF(E364="North Indian",0.01,0)))))</x:f>
        <x:v>36708.049999999996</x:v>
      </x:c>
      <x:c r="N364" s="195" t="n">
        <x:f>L364-M364</x:f>
        <x:v>13576.950000000004</x:v>
      </x:c>
      <x:c r="O364" s="195" t="n">
        <x:f>L364*0.13</x:f>
        <x:v>6537.05</x:v>
      </x:c>
      <x:c r="P364" s="195" t="n">
        <x:f>N364-O364</x:f>
        <x:v>7039.900000000004</x:v>
      </x:c>
      <x:c r="Q364" s="195" t="n">
        <x:v>54536.87272751287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e701f71f33ba40f9"/>
  </x:tableParts>
</x:worksheet>
</file>

<file path=xl/worksheets/sheet2.xml><?xml version="1.0" encoding="utf-8"?>
<x:worksheet xmlns:x="http://schemas.openxmlformats.org/spreadsheetml/2006/main">
  <x:sheetFormatPr defaultRowHeight="14.25"/>
  <x:cols>
    <x:col min="1" max="1" width="24" hidden="0" customWidth="1"/>
    <x:col min="2" max="2" width="18" hidden="0" customWidth="1"/>
    <x:col min="3" max="3" width="15" hidden="0" customWidth="1"/>
    <x:col min="4" max="4" width="14" hidden="0" customWidth="1"/>
    <x:col min="5" max="5" width="14" hidden="0" customWidth="1"/>
    <x:col min="6" max="6" width="14" hidden="0" customWidth="1"/>
    <x:col min="7" max="7" width="18" hidden="0" customWidth="1"/>
    <x:col min="8" max="8" width="20" hidden="0" customWidth="1"/>
    <x:col min="9" max="13" width="14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</x:cols>
  <x:sheetData>
    <x:row r="1" ht="30" customHeight="1">
      <x:c r="A1" s="201" t="str">
        <x:v>Zomato India | Data Cleaning</x:v>
      </x:c>
      <x:c r="B1" s="201"/>
      <x:c r="C1" s="201"/>
      <x:c r="D1" s="201"/>
      <x:c r="E1" s="201"/>
      <x:c r="F1" s="201"/>
      <x:c r="G1" s="201"/>
      <x:c r="H1" s="201"/>
      <x:c r="I1" s="201"/>
      <x:c r="J1" s="201"/>
      <x:c r="K1" s="201"/>
      <x:c r="L1" s="201"/>
      <x:c r="M1" s="201"/>
      <x:c r="N1" s="204"/>
      <x:c r="O1" s="204"/>
      <x:c r="P1" s="204"/>
      <x:c r="Q1" s="204"/>
      <x:c r="R1" s="204"/>
      <x:c r="S1" s="204"/>
      <x:c r="T1" s="204"/>
      <x:c r="U1" s="204"/>
      <x:c r="V1" s="204"/>
      <x:c r="W1" s="204"/>
      <x:c r="X1" s="204"/>
      <x:c r="Y1" s="204"/>
      <x:c r="Z1" s="204"/>
    </x:row>
    <x:row r="2" ht="20.100000381469727" customHeight="1">
      <x:c r="A2" s="187" t="str">
        <x:v>Standardized analytical layer + quality checks | MBA case study</x:v>
      </x:c>
      <x:c r="B2" s="187"/>
      <x:c r="C2" s="187"/>
      <x:c r="D2" s="187"/>
      <x:c r="E2" s="187"/>
      <x:c r="F2" s="187"/>
      <x:c r="G2" s="187"/>
      <x:c r="H2" s="187"/>
      <x:c r="I2" s="93"/>
      <x:c r="J2" s="93"/>
      <x:c r="K2" s="93"/>
      <x:c r="L2" s="93"/>
      <x:c r="M2" s="93"/>
    </x:row>
    <x:row r="3" ht="15">
      <x:c r="A3" s="187"/>
      <x:c r="B3" s="187"/>
      <x:c r="C3" s="187"/>
      <x:c r="D3" s="187"/>
      <x:c r="E3" s="187"/>
      <x:c r="F3" s="187"/>
      <x:c r="G3" s="187"/>
      <x:c r="H3" s="187"/>
      <x:c r="I3" s="93"/>
      <x:c r="J3" s="93"/>
      <x:c r="K3" s="93"/>
      <x:c r="L3" s="93"/>
      <x:c r="M3" s="93"/>
    </x:row>
    <x:row r="4" ht="15">
      <x:c r="A4" s="177" t="str">
        <x:v>Field</x:v>
      </x:c>
      <x:c r="B4" s="177" t="str">
        <x:v>Rule</x:v>
      </x:c>
      <x:c r="C4" s="177" t="str">
        <x:v>Example</x:v>
      </x:c>
      <x:c r="D4" s="177" t="str">
        <x:v>Status</x:v>
      </x:c>
      <x:c r="E4" s="177" t="str">
        <x:v>Field</x:v>
      </x:c>
      <x:c r="F4" s="177" t="str">
        <x:v>Rule</x:v>
      </x:c>
      <x:c r="G4" s="177" t="str">
        <x:v>Example</x:v>
      </x:c>
      <x:c r="H4" s="177" t="str">
        <x:v>Status</x:v>
      </x:c>
      <x:c r="I4" s="93"/>
      <x:c r="J4" s="93"/>
      <x:c r="K4" s="93"/>
      <x:c r="L4" s="93"/>
      <x:c r="M4" s="93"/>
    </x:row>
    <x:row r="5" ht="15">
      <x:c r="A5" s="187" t="str">
        <x:v>Date</x:v>
      </x:c>
      <x:c r="B5" s="187" t="str">
        <x:v>Standardized month</x:v>
      </x:c>
      <x:c r="C5" s="187" t="str">
        <x:v>Jan-25</x:v>
      </x:c>
      <x:c r="D5" s="187" t="str">
        <x:v>Pass</x:v>
      </x:c>
      <x:c r="E5" s="187" t="str">
        <x:v>Region</x:v>
      </x:c>
      <x:c r="F5" s="187" t="str">
        <x:v>Controlled list</x:v>
      </x:c>
      <x:c r="G5" s="187" t="str">
        <x:v>North</x:v>
      </x:c>
      <x:c r="H5" s="187" t="str">
        <x:v>Pass</x:v>
      </x:c>
      <x:c r="I5" s="93"/>
      <x:c r="J5" s="93"/>
      <x:c r="K5" s="93"/>
      <x:c r="L5" s="93"/>
      <x:c r="M5" s="93"/>
    </x:row>
    <x:row r="6" ht="15">
      <x:c r="A6" s="187" t="str">
        <x:v>Revenue</x:v>
      </x:c>
      <x:c r="B6" s="187" t="str">
        <x:v>Net of discount</x:v>
      </x:c>
      <x:c r="C6" s="187" t="str">
        <x:v>₹ sample</x:v>
      </x:c>
      <x:c r="D6" s="187" t="str">
        <x:v>Pass</x:v>
      </x:c>
      <x:c r="E6" s="187" t="str">
        <x:v>Cuisine / Category</x:v>
      </x:c>
      <x:c r="F6" s="187" t="str">
        <x:v>Controlled list</x:v>
      </x:c>
      <x:c r="G6" s="187" t="str">
        <x:v>Biryani</x:v>
      </x:c>
      <x:c r="H6" s="187" t="str">
        <x:v>Pass</x:v>
      </x:c>
      <x:c r="I6" s="93"/>
      <x:c r="J6" s="93"/>
      <x:c r="K6" s="93"/>
      <x:c r="L6" s="93"/>
      <x:c r="M6" s="93"/>
    </x:row>
    <x:row r="7" ht="15">
      <x:c r="A7" s="187" t="str">
        <x:v>Customer Segment</x:v>
      </x:c>
      <x:c r="B7" s="187" t="str">
        <x:v>Controlled list</x:v>
      </x:c>
      <x:c r="C7" s="187" t="str">
        <x:v>Gold User</x:v>
      </x:c>
      <x:c r="D7" s="187" t="str">
        <x:v>Pass</x:v>
      </x:c>
      <x:c r="E7" s="187" t="str">
        <x:v>Orders</x:v>
      </x:c>
      <x:c r="F7" s="187" t="str">
        <x:v>Positive integer</x:v>
      </x:c>
      <x:c r="G7" s="187" t="str">
        <x:v>120</x:v>
      </x:c>
      <x:c r="H7" s="187" t="str">
        <x:v>Pass</x:v>
      </x:c>
      <x:c r="I7" s="93"/>
      <x:c r="J7" s="93"/>
      <x:c r="K7" s="93"/>
      <x:c r="L7" s="93"/>
      <x:c r="M7" s="93"/>
    </x:row>
    <x:row r="8" ht="15">
      <x:c r="A8" s="187" t="str">
        <x:v>Duplicate Check</x:v>
      </x:c>
      <x:c r="B8" s="187" t="str">
        <x:v>Order ID unique</x:v>
      </x:c>
      <x:c r="C8" s="187" t="str">
        <x:v>ZOM-0001</x:v>
      </x:c>
      <x:c r="D8" s="187" t="str">
        <x:v>Pass</x:v>
      </x:c>
      <x:c r="E8" s="187" t="str">
        <x:v>Missing Values</x:v>
      </x:c>
      <x:c r="F8" s="187" t="str">
        <x:v>No blanks</x:v>
      </x:c>
      <x:c r="G8" s="187" t="str">
        <x:v>0</x:v>
      </x:c>
      <x:c r="H8" s="187" t="str">
        <x:v>Pass</x:v>
      </x:c>
      <x:c r="I8" s="93"/>
      <x:c r="J8" s="93"/>
      <x:c r="K8" s="93"/>
      <x:c r="L8" s="93"/>
      <x:c r="M8" s="93"/>
    </x:row>
    <x:row r="9" ht="15">
      <x:c r="A9" s="187"/>
      <x:c r="B9" s="187"/>
      <x:c r="C9" s="187"/>
      <x:c r="D9" s="187"/>
      <x:c r="E9" s="187"/>
      <x:c r="F9" s="187"/>
      <x:c r="G9" s="187"/>
      <x:c r="H9" s="187"/>
      <x:c r="I9" s="93"/>
      <x:c r="J9" s="93"/>
      <x:c r="K9" s="93"/>
      <x:c r="L9" s="93"/>
      <x:c r="M9" s="93"/>
    </x:row>
    <x:row r="10" ht="15">
      <x:c r="A10" s="205" t="str">
        <x:v>Data Quality KPI</x:v>
      </x:c>
      <x:c r="B10" s="205" t="str">
        <x:v>Value</x:v>
      </x:c>
      <x:c r="C10" s="205" t="str">
        <x:v>Interpretation</x:v>
      </x:c>
      <x:c r="D10" s="187"/>
      <x:c r="E10" s="187"/>
      <x:c r="F10" s="187"/>
      <x:c r="G10" s="187"/>
      <x:c r="H10" s="187"/>
      <x:c r="I10" s="93"/>
      <x:c r="J10" s="93"/>
      <x:c r="K10" s="93"/>
      <x:c r="L10" s="93"/>
      <x:c r="M10" s="93"/>
    </x:row>
    <x:row r="11" ht="15">
      <x:c r="A11" s="187" t="str">
        <x:v>Rows Loaded</x:v>
      </x:c>
      <x:c r="B11" s="187" t="n">
        <x:v>360</x:v>
      </x:c>
      <x:c r="C11" s="187" t="str">
        <x:v>Records in source table</x:v>
      </x:c>
      <x:c r="D11" s="187"/>
      <x:c r="E11" s="187"/>
      <x:c r="F11" s="187"/>
      <x:c r="G11" s="187"/>
      <x:c r="H11" s="187"/>
      <x:c r="I11" s="93"/>
      <x:c r="J11" s="93"/>
      <x:c r="K11" s="93"/>
      <x:c r="L11" s="93"/>
      <x:c r="M11" s="93"/>
    </x:row>
    <x:row r="12" ht="15">
      <x:c r="A12" s="187" t="str">
        <x:v>Duplicates</x:v>
      </x:c>
      <x:c r="B12" s="187" t="n">
        <x:v>0</x:v>
      </x:c>
      <x:c r="C12" s="187" t="str">
        <x:v>No duplicate IDs simulated</x:v>
      </x:c>
      <x:c r="D12" s="187"/>
      <x:c r="E12" s="187"/>
      <x:c r="F12" s="187"/>
      <x:c r="G12" s="187"/>
      <x:c r="H12" s="187"/>
      <x:c r="I12" s="93"/>
      <x:c r="J12" s="93"/>
      <x:c r="K12" s="93"/>
      <x:c r="L12" s="93"/>
      <x:c r="M12" s="93"/>
    </x:row>
    <x:row r="13" ht="15">
      <x:c r="A13" s="187" t="str">
        <x:v>Missing Critical Fields</x:v>
      </x:c>
      <x:c r="B13" s="187" t="n">
        <x:v>0</x:v>
      </x:c>
      <x:c r="C13" s="187" t="str">
        <x:v>All core fields complete</x:v>
      </x:c>
      <x:c r="D13" s="187"/>
      <x:c r="E13" s="187"/>
      <x:c r="F13" s="187"/>
      <x:c r="G13" s="187"/>
      <x:c r="H13" s="187"/>
      <x:c r="I13" s="93"/>
      <x:c r="J13" s="93"/>
      <x:c r="K13" s="93"/>
      <x:c r="L13" s="93"/>
      <x:c r="M13" s="93"/>
    </x:row>
    <x:row r="14" ht="15">
      <x:c r="A14" s="187" t="str">
        <x:v>Outlier Flags</x:v>
      </x:c>
      <x:c r="B14" s="187" t="n">
        <x:v>11</x:v>
      </x:c>
      <x:c r="C14" s="187" t="str">
        <x:v>Manual review flags for unusually large order volumes</x:v>
      </x:c>
      <x:c r="D14" s="187"/>
      <x:c r="E14" s="187"/>
      <x:c r="F14" s="187"/>
      <x:c r="G14" s="187"/>
      <x:c r="H14" s="187"/>
      <x:c r="I14" s="93"/>
      <x:c r="J14" s="93"/>
      <x:c r="K14" s="93"/>
      <x:c r="L14" s="93"/>
      <x:c r="M14" s="93"/>
    </x:row>
    <x:row r="15" ht="15">
      <x:c r="A15" s="187"/>
      <x:c r="B15" s="187"/>
      <x:c r="C15" s="187"/>
      <x:c r="D15" s="187"/>
      <x:c r="E15" s="187"/>
      <x:c r="F15" s="187"/>
      <x:c r="G15" s="187"/>
      <x:c r="H15" s="187"/>
      <x:c r="I15" s="93"/>
      <x:c r="J15" s="93"/>
      <x:c r="K15" s="93"/>
      <x:c r="L15" s="93"/>
      <x:c r="M15" s="93"/>
    </x:row>
    <x:row r="16" ht="15">
      <x:c r="A16" s="206" t="str">
        <x:v>Controlled vocabularies / modeling conventions</x:v>
      </x:c>
      <x:c r="B16" s="206"/>
      <x:c r="C16" s="206"/>
      <x:c r="D16" s="206"/>
      <x:c r="E16" s="206"/>
      <x:c r="F16" s="206"/>
      <x:c r="G16" s="206"/>
      <x:c r="H16" s="206"/>
      <x:c r="I16" s="93"/>
      <x:c r="J16" s="93"/>
      <x:c r="K16" s="93"/>
      <x:c r="L16" s="93"/>
      <x:c r="M16" s="93"/>
    </x:row>
    <x:row r="17" ht="15">
      <x:c r="A17" s="187" t="str">
        <x:v>Region</x:v>
      </x:c>
      <x:c r="B17" s="187" t="str">
        <x:v>North</x:v>
      </x:c>
      <x:c r="C17" s="187" t="str">
        <x:v>South</x:v>
      </x:c>
      <x:c r="D17" s="187" t="str">
        <x:v>West</x:v>
      </x:c>
      <x:c r="E17" s="187" t="str">
        <x:v>East</x:v>
      </x:c>
      <x:c r="F17" s="187" t="str">
        <x:v>Central</x:v>
      </x:c>
      <x:c r="G17" s="187" t="str">
        <x:v>Metro</x:v>
      </x:c>
      <x:c r="H17" s="187"/>
      <x:c r="I17" s="93"/>
      <x:c r="J17" s="93"/>
      <x:c r="K17" s="93"/>
      <x:c r="L17" s="93"/>
      <x:c r="M17" s="93"/>
    </x:row>
    <x:row r="18" ht="15">
      <x:c r="A18" s="187" t="str">
        <x:v>Customer Segment</x:v>
      </x:c>
      <x:c r="B18" s="187" t="str">
        <x:v>New User</x:v>
      </x:c>
      <x:c r="C18" s="187" t="str">
        <x:v>Repeat User</x:v>
      </x:c>
      <x:c r="D18" s="187" t="str">
        <x:v>Gold User</x:v>
      </x:c>
      <x:c r="E18" s="187" t="str">
        <x:v>Corporate</x:v>
      </x:c>
      <x:c r="F18" s="187" t="str">
        <x:v>Budget</x:v>
      </x:c>
      <x:c r="G18" s="187" t="str">
        <x:v>Student</x:v>
      </x:c>
      <x:c r="H18" s="187"/>
      <x:c r="I18" s="93"/>
      <x:c r="J18" s="93"/>
      <x:c r="K18" s="93"/>
      <x:c r="L18" s="93"/>
      <x:c r="M18" s="93"/>
    </x:row>
    <x:row r="19" ht="15">
      <x:c r="A19" s="187" t="str">
        <x:v>Cuisine / Category</x:v>
      </x:c>
      <x:c r="B19" s="187" t="str">
        <x:v>North Indian</x:v>
      </x:c>
      <x:c r="C19" s="187" t="str">
        <x:v>Biryani</x:v>
      </x:c>
      <x:c r="D19" s="187" t="str">
        <x:v>Pizza</x:v>
      </x:c>
      <x:c r="E19" s="187" t="str">
        <x:v>South Indian</x:v>
      </x:c>
      <x:c r="F19" s="187" t="str">
        <x:v>Chinese</x:v>
      </x:c>
      <x:c r="G19" s="187" t="str">
        <x:v>Burgers</x:v>
      </x:c>
      <x:c r="H19" s="187" t="str">
        <x:v>Desserts / Healthy / Beverages / Snacks</x:v>
      </x:c>
      <x:c r="I19" s="93"/>
      <x:c r="J19" s="93"/>
      <x:c r="K19" s="93"/>
      <x:c r="L19" s="93"/>
      <x:c r="M19" s="93"/>
    </x:row>
    <x:row r="20" ht="15">
      <x:c r="A20" s="187" t="str">
        <x:v>Currency</x:v>
      </x:c>
      <x:c r="B20" s="187" t="str">
        <x:v>INR (₹)</x:v>
      </x:c>
      <x:c r="C20" s="187"/>
      <x:c r="D20" s="187"/>
      <x:c r="E20" s="187"/>
      <x:c r="F20" s="187"/>
      <x:c r="G20" s="187"/>
      <x:c r="H20" s="187"/>
      <x:c r="I20" s="93"/>
      <x:c r="J20" s="93"/>
      <x:c r="K20" s="93"/>
      <x:c r="L20" s="93"/>
      <x:c r="M20" s="93"/>
    </x:row>
    <x:row r="21" ht="15">
      <x:c r="A21" s="187" t="str">
        <x:v>Revenue Basis</x:v>
      </x:c>
      <x:c r="B21" s="187" t="str">
        <x:v>Net revenue after discount</x:v>
      </x:c>
      <x:c r="C21" s="187"/>
      <x:c r="D21" s="187"/>
      <x:c r="E21" s="187"/>
      <x:c r="F21" s="187"/>
      <x:c r="G21" s="187"/>
      <x:c r="H21" s="187"/>
      <x:c r="I21" s="93"/>
      <x:c r="J21" s="93"/>
      <x:c r="K21" s="93"/>
      <x:c r="L21" s="93"/>
      <x:c r="M21" s="93"/>
    </x:row>
    <x:row r="22" ht="15">
      <x:c r="A22" s="187" t="str">
        <x:v>Profit Basis</x:v>
      </x:c>
      <x:c r="B22" s="187" t="str">
        <x:v>Gross profit less operating expense</x:v>
      </x:c>
      <x:c r="C22" s="187"/>
      <x:c r="D22" s="187"/>
      <x:c r="E22" s="187"/>
      <x:c r="F22" s="187"/>
      <x:c r="G22" s="187"/>
      <x:c r="H22" s="187"/>
      <x:c r="I22" s="93"/>
      <x:c r="J22" s="93"/>
      <x:c r="K22" s="93"/>
      <x:c r="L22" s="93"/>
      <x:c r="M22" s="93"/>
    </x:row>
    <x:row r="23" ht="15">
      <x:c r="A23" s="187" t="str">
        <x:v>Scenario</x:v>
      </x:c>
      <x:c r="B23" s="187" t="str">
        <x:v>Base case</x:v>
      </x:c>
      <x:c r="C23" s="187"/>
      <x:c r="D23" s="187"/>
      <x:c r="E23" s="187"/>
      <x:c r="F23" s="187"/>
      <x:c r="G23" s="187"/>
      <x:c r="H23" s="187"/>
      <x:c r="I23" s="93"/>
      <x:c r="J23" s="93"/>
      <x:c r="K23" s="93"/>
      <x:c r="L23" s="93"/>
      <x:c r="M23" s="93"/>
    </x:row>
    <x:row r="24" ht="15">
      <x:c r="A24" s="187" t="str">
        <x:v>Period</x:v>
      </x:c>
      <x:c r="B24" s="187" t="str">
        <x:v>Jan-25 to Dec-25</x:v>
      </x:c>
      <x:c r="C24" s="187"/>
      <x:c r="D24" s="187"/>
      <x:c r="E24" s="187"/>
      <x:c r="F24" s="187"/>
      <x:c r="G24" s="187"/>
      <x:c r="H24" s="187"/>
      <x:c r="I24" s="93"/>
      <x:c r="J24" s="93"/>
      <x:c r="K24" s="93"/>
      <x:c r="L24" s="93"/>
      <x:c r="M24" s="93"/>
    </x:row>
    <x:row r="25" ht="15">
      <x:c r="A25" s="93"/>
      <x:c r="B25" s="93"/>
      <x:c r="C25" s="93"/>
      <x:c r="D25" s="93"/>
      <x:c r="E25" s="93"/>
      <x:c r="F25" s="93"/>
      <x:c r="G25" s="93"/>
      <x:c r="H25" s="93"/>
      <x:c r="I25" s="93"/>
      <x:c r="J25" s="93"/>
      <x:c r="K25" s="93"/>
      <x:c r="L25" s="93"/>
      <x:c r="M25" s="93"/>
    </x:row>
    <x:row r="26" ht="15">
      <x:c r="A26" s="93"/>
      <x:c r="B26" s="93"/>
      <x:c r="C26" s="93"/>
      <x:c r="D26" s="93"/>
      <x:c r="E26" s="93"/>
      <x:c r="F26" s="93"/>
      <x:c r="G26" s="93"/>
      <x:c r="H26" s="93"/>
      <x:c r="I26" s="93"/>
      <x:c r="J26" s="93"/>
      <x:c r="K26" s="93"/>
      <x:c r="L26" s="93"/>
      <x:c r="M26" s="93"/>
    </x:row>
    <x:row r="27" ht="15">
      <x:c r="A27" s="93"/>
      <x:c r="B27" s="93"/>
      <x:c r="C27" s="93"/>
      <x:c r="D27" s="93"/>
      <x:c r="E27" s="93"/>
      <x:c r="F27" s="93"/>
      <x:c r="G27" s="93"/>
      <x:c r="H27" s="93"/>
      <x:c r="I27" s="93"/>
      <x:c r="J27" s="93"/>
      <x:c r="K27" s="93"/>
      <x:c r="L27" s="93"/>
      <x:c r="M27" s="93"/>
    </x:row>
    <x:row r="28" ht="15">
      <x:c r="A28" s="93"/>
      <x:c r="B28" s="93"/>
      <x:c r="C28" s="93"/>
      <x:c r="D28" s="93"/>
      <x:c r="E28" s="93"/>
      <x:c r="F28" s="93"/>
      <x:c r="G28" s="93"/>
      <x:c r="H28" s="93"/>
      <x:c r="I28" s="93"/>
      <x:c r="J28" s="93"/>
      <x:c r="K28" s="93"/>
      <x:c r="L28" s="93"/>
      <x:c r="M28" s="93"/>
    </x:row>
    <x:row r="29" ht="15">
      <x:c r="A29" s="93"/>
      <x:c r="B29" s="93"/>
      <x:c r="C29" s="93"/>
      <x:c r="D29" s="93"/>
      <x:c r="E29" s="93"/>
      <x:c r="F29" s="93"/>
      <x:c r="G29" s="93"/>
      <x:c r="H29" s="93"/>
      <x:c r="I29" s="93"/>
      <x:c r="J29" s="93"/>
      <x:c r="K29" s="93"/>
      <x:c r="L29" s="93"/>
      <x:c r="M29" s="93"/>
    </x:row>
    <x:row r="30" ht="15">
      <x:c r="A30" s="93"/>
      <x:c r="B30" s="93"/>
      <x:c r="C30" s="93"/>
      <x:c r="D30" s="93"/>
      <x:c r="E30" s="93"/>
      <x:c r="F30" s="93"/>
      <x:c r="G30" s="93"/>
      <x:c r="H30" s="93"/>
      <x:c r="I30" s="93"/>
      <x:c r="J30" s="93"/>
      <x:c r="K30" s="93"/>
      <x:c r="L30" s="93"/>
      <x:c r="M30" s="93"/>
    </x:row>
    <x:row r="31" ht="15">
      <x:c r="A31" s="93"/>
      <x:c r="B31" s="93"/>
      <x:c r="C31" s="93"/>
      <x:c r="D31" s="93"/>
      <x:c r="E31" s="93"/>
      <x:c r="F31" s="93"/>
      <x:c r="G31" s="93"/>
      <x:c r="H31" s="93"/>
      <x:c r="I31" s="93"/>
      <x:c r="J31" s="93"/>
      <x:c r="K31" s="93"/>
      <x:c r="L31" s="93"/>
      <x:c r="M31" s="93"/>
    </x:row>
    <x:row r="32" ht="15">
      <x:c r="A32" s="93"/>
      <x:c r="B32" s="93"/>
      <x:c r="C32" s="93"/>
      <x:c r="D32" s="93"/>
      <x:c r="E32" s="93"/>
      <x:c r="F32" s="93"/>
      <x:c r="G32" s="93"/>
      <x:c r="H32" s="93"/>
      <x:c r="I32" s="93"/>
      <x:c r="J32" s="93"/>
      <x:c r="K32" s="93"/>
      <x:c r="L32" s="93"/>
      <x:c r="M32" s="93"/>
    </x:row>
    <x:row r="33" ht="15">
      <x:c r="A33" s="93"/>
      <x:c r="B33" s="93"/>
      <x:c r="C33" s="93"/>
      <x:c r="D33" s="93"/>
      <x:c r="E33" s="93"/>
      <x:c r="F33" s="93"/>
      <x:c r="G33" s="93"/>
      <x:c r="H33" s="93"/>
      <x:c r="I33" s="93"/>
      <x:c r="J33" s="93"/>
      <x:c r="K33" s="93"/>
      <x:c r="L33" s="93"/>
      <x:c r="M33" s="93"/>
    </x:row>
    <x:row r="34" ht="15">
      <x:c r="A34" s="93"/>
      <x:c r="B34" s="93"/>
      <x:c r="C34" s="93"/>
      <x:c r="D34" s="93"/>
      <x:c r="E34" s="93"/>
      <x:c r="F34" s="93"/>
      <x:c r="G34" s="93"/>
      <x:c r="H34" s="93"/>
      <x:c r="I34" s="93"/>
      <x:c r="J34" s="93"/>
      <x:c r="K34" s="93"/>
      <x:c r="L34" s="93"/>
      <x:c r="M34" s="93"/>
    </x:row>
    <x:row r="35" ht="15">
      <x:c r="A35" s="93"/>
      <x:c r="B35" s="93"/>
      <x:c r="C35" s="93"/>
      <x:c r="D35" s="93"/>
      <x:c r="E35" s="93"/>
      <x:c r="F35" s="93"/>
      <x:c r="G35" s="93"/>
      <x:c r="H35" s="93"/>
      <x:c r="I35" s="93"/>
      <x:c r="J35" s="93"/>
      <x:c r="K35" s="93"/>
      <x:c r="L35" s="93"/>
      <x:c r="M35" s="93"/>
    </x:row>
    <x:row r="36" ht="15">
      <x:c r="A36" s="93"/>
      <x:c r="B36" s="93"/>
      <x:c r="C36" s="93"/>
      <x:c r="D36" s="93"/>
      <x:c r="E36" s="93"/>
      <x:c r="F36" s="93"/>
      <x:c r="G36" s="93"/>
      <x:c r="H36" s="93"/>
      <x:c r="I36" s="93"/>
      <x:c r="J36" s="93"/>
      <x:c r="K36" s="93"/>
      <x:c r="L36" s="93"/>
      <x:c r="M36" s="93"/>
    </x:row>
    <x:row r="37" ht="15">
      <x:c r="A37" s="93"/>
      <x:c r="B37" s="93"/>
      <x:c r="C37" s="93"/>
      <x:c r="D37" s="93"/>
      <x:c r="E37" s="93"/>
      <x:c r="F37" s="93"/>
      <x:c r="G37" s="93"/>
      <x:c r="H37" s="93"/>
      <x:c r="I37" s="93"/>
      <x:c r="J37" s="93"/>
      <x:c r="K37" s="93"/>
      <x:c r="L37" s="93"/>
      <x:c r="M37" s="93"/>
    </x:row>
    <x:row r="38" ht="15">
      <x:c r="A38" s="93"/>
      <x:c r="B38" s="93"/>
      <x:c r="C38" s="93"/>
      <x:c r="D38" s="93"/>
      <x:c r="E38" s="93"/>
      <x:c r="F38" s="93"/>
      <x:c r="G38" s="93"/>
      <x:c r="H38" s="93"/>
      <x:c r="I38" s="93"/>
      <x:c r="J38" s="93"/>
      <x:c r="K38" s="93"/>
      <x:c r="L38" s="93"/>
      <x:c r="M38" s="93"/>
    </x:row>
    <x:row r="39" ht="15">
      <x:c r="A39" s="93"/>
      <x:c r="B39" s="93"/>
      <x:c r="C39" s="93"/>
      <x:c r="D39" s="93"/>
      <x:c r="E39" s="93"/>
      <x:c r="F39" s="93"/>
      <x:c r="G39" s="93"/>
      <x:c r="H39" s="93"/>
      <x:c r="I39" s="93"/>
      <x:c r="J39" s="93"/>
      <x:c r="K39" s="93"/>
      <x:c r="L39" s="93"/>
      <x:c r="M39" s="93"/>
    </x:row>
    <x:row r="40" ht="15">
      <x:c r="A40" s="93"/>
      <x:c r="B40" s="93"/>
      <x:c r="C40" s="93"/>
      <x:c r="D40" s="93"/>
      <x:c r="E40" s="93"/>
      <x:c r="F40" s="93"/>
      <x:c r="G40" s="93"/>
      <x:c r="H40" s="93"/>
      <x:c r="I40" s="93"/>
      <x:c r="J40" s="93"/>
      <x:c r="K40" s="93"/>
      <x:c r="L40" s="93"/>
      <x:c r="M40" s="93"/>
    </x:row>
    <x:row r="41" ht="15">
      <x:c r="A41" s="93"/>
      <x:c r="B41" s="93"/>
      <x:c r="C41" s="93"/>
      <x:c r="D41" s="93"/>
      <x:c r="E41" s="93"/>
      <x:c r="F41" s="93"/>
      <x:c r="G41" s="93"/>
      <x:c r="H41" s="93"/>
      <x:c r="I41" s="93"/>
      <x:c r="J41" s="93"/>
      <x:c r="K41" s="93"/>
      <x:c r="L41" s="93"/>
      <x:c r="M41" s="93"/>
    </x:row>
    <x:row r="42" ht="15">
      <x:c r="A42" s="93"/>
      <x:c r="B42" s="93"/>
      <x:c r="C42" s="93"/>
      <x:c r="D42" s="93"/>
      <x:c r="E42" s="93"/>
      <x:c r="F42" s="93"/>
      <x:c r="G42" s="93"/>
      <x:c r="H42" s="93"/>
      <x:c r="I42" s="93"/>
      <x:c r="J42" s="93"/>
      <x:c r="K42" s="93"/>
      <x:c r="L42" s="93"/>
      <x:c r="M42" s="93"/>
    </x:row>
    <x:row r="43" ht="15">
      <x:c r="A43" s="93"/>
      <x:c r="B43" s="93"/>
      <x:c r="C43" s="93"/>
      <x:c r="D43" s="93"/>
      <x:c r="E43" s="93"/>
      <x:c r="F43" s="93"/>
      <x:c r="G43" s="93"/>
      <x:c r="H43" s="93"/>
      <x:c r="I43" s="93"/>
      <x:c r="J43" s="93"/>
      <x:c r="K43" s="93"/>
      <x:c r="L43" s="93"/>
      <x:c r="M43" s="93"/>
    </x:row>
    <x:row r="44" ht="15">
      <x:c r="A44" s="93"/>
      <x:c r="B44" s="93"/>
      <x:c r="C44" s="93"/>
      <x:c r="D44" s="93"/>
      <x:c r="E44" s="93"/>
      <x:c r="F44" s="93"/>
      <x:c r="G44" s="93"/>
      <x:c r="H44" s="93"/>
      <x:c r="I44" s="93"/>
      <x:c r="J44" s="93"/>
      <x:c r="K44" s="93"/>
      <x:c r="L44" s="93"/>
      <x:c r="M44" s="93"/>
    </x:row>
    <x:row r="45" ht="15">
      <x:c r="A45" s="93"/>
      <x:c r="B45" s="93"/>
      <x:c r="C45" s="93"/>
      <x:c r="D45" s="93"/>
      <x:c r="E45" s="93"/>
      <x:c r="F45" s="93"/>
      <x:c r="G45" s="93"/>
      <x:c r="H45" s="93"/>
      <x:c r="I45" s="93"/>
      <x:c r="J45" s="93"/>
      <x:c r="K45" s="93"/>
      <x:c r="L45" s="93"/>
      <x:c r="M45" s="93"/>
    </x:row>
    <x:row r="46" ht="15">
      <x:c r="A46" s="93"/>
      <x:c r="B46" s="93"/>
      <x:c r="C46" s="93"/>
      <x:c r="D46" s="93"/>
      <x:c r="E46" s="93"/>
      <x:c r="F46" s="93"/>
      <x:c r="G46" s="93"/>
      <x:c r="H46" s="93"/>
      <x:c r="I46" s="93"/>
      <x:c r="J46" s="93"/>
      <x:c r="K46" s="93"/>
      <x:c r="L46" s="93"/>
      <x:c r="M46" s="93"/>
    </x:row>
    <x:row r="47" ht="15">
      <x:c r="A47" s="93"/>
      <x:c r="B47" s="93"/>
      <x:c r="C47" s="93"/>
      <x:c r="D47" s="93"/>
      <x:c r="E47" s="93"/>
      <x:c r="F47" s="93"/>
      <x:c r="G47" s="93"/>
      <x:c r="H47" s="93"/>
      <x:c r="I47" s="93"/>
      <x:c r="J47" s="93"/>
      <x:c r="K47" s="93"/>
      <x:c r="L47" s="93"/>
      <x:c r="M47" s="93"/>
    </x:row>
    <x:row r="48" ht="15">
      <x:c r="A48" s="93"/>
      <x:c r="B48" s="93"/>
      <x:c r="C48" s="93"/>
      <x:c r="D48" s="93"/>
      <x:c r="E48" s="93"/>
      <x:c r="F48" s="93"/>
      <x:c r="G48" s="93"/>
      <x:c r="H48" s="93"/>
      <x:c r="I48" s="93"/>
      <x:c r="J48" s="93"/>
      <x:c r="K48" s="93"/>
      <x:c r="L48" s="93"/>
      <x:c r="M48" s="93"/>
    </x:row>
    <x:row r="49" ht="15">
      <x:c r="A49" s="93"/>
      <x:c r="B49" s="93"/>
      <x:c r="C49" s="93"/>
      <x:c r="D49" s="93"/>
      <x:c r="E49" s="93"/>
      <x:c r="F49" s="93"/>
      <x:c r="G49" s="93"/>
      <x:c r="H49" s="93"/>
      <x:c r="I49" s="93"/>
      <x:c r="J49" s="93"/>
      <x:c r="K49" s="93"/>
      <x:c r="L49" s="93"/>
      <x:c r="M49" s="93"/>
    </x:row>
    <x:row r="50" ht="15">
      <x:c r="A50" s="93"/>
      <x:c r="B50" s="93"/>
      <x:c r="C50" s="93"/>
      <x:c r="D50" s="93"/>
      <x:c r="E50" s="93"/>
      <x:c r="F50" s="93"/>
      <x:c r="G50" s="93"/>
      <x:c r="H50" s="93"/>
      <x:c r="I50" s="93"/>
      <x:c r="J50" s="93"/>
      <x:c r="K50" s="93"/>
      <x:c r="L50" s="93"/>
      <x:c r="M50" s="93"/>
    </x:row>
    <x:row r="51" ht="15">
      <x:c r="A51" s="93"/>
      <x:c r="B51" s="93"/>
      <x:c r="C51" s="93"/>
      <x:c r="D51" s="93"/>
      <x:c r="E51" s="93"/>
      <x:c r="F51" s="93"/>
      <x:c r="G51" s="93"/>
      <x:c r="H51" s="93"/>
      <x:c r="I51" s="93"/>
      <x:c r="J51" s="93"/>
      <x:c r="K51" s="93"/>
      <x:c r="L51" s="93"/>
      <x:c r="M51" s="93"/>
    </x:row>
    <x:row r="52" ht="15">
      <x:c r="A52" s="93"/>
      <x:c r="B52" s="93"/>
      <x:c r="C52" s="93"/>
      <x:c r="D52" s="93"/>
      <x:c r="E52" s="93"/>
      <x:c r="F52" s="93"/>
      <x:c r="G52" s="93"/>
      <x:c r="H52" s="93"/>
      <x:c r="I52" s="93"/>
      <x:c r="J52" s="93"/>
      <x:c r="K52" s="93"/>
      <x:c r="L52" s="93"/>
      <x:c r="M52" s="93"/>
    </x:row>
    <x:row r="53" ht="15">
      <x:c r="A53" s="93"/>
      <x:c r="B53" s="93"/>
      <x:c r="C53" s="93"/>
      <x:c r="D53" s="93"/>
      <x:c r="E53" s="93"/>
      <x:c r="F53" s="93"/>
      <x:c r="G53" s="93"/>
      <x:c r="H53" s="93"/>
      <x:c r="I53" s="93"/>
      <x:c r="J53" s="93"/>
      <x:c r="K53" s="93"/>
      <x:c r="L53" s="93"/>
      <x:c r="M53" s="93"/>
    </x:row>
    <x:row r="54" ht="15">
      <x:c r="A54" s="93"/>
      <x:c r="B54" s="93"/>
      <x:c r="C54" s="93"/>
      <x:c r="D54" s="93"/>
      <x:c r="E54" s="93"/>
      <x:c r="F54" s="93"/>
      <x:c r="G54" s="93"/>
      <x:c r="H54" s="93"/>
      <x:c r="I54" s="93"/>
      <x:c r="J54" s="93"/>
      <x:c r="K54" s="93"/>
      <x:c r="L54" s="93"/>
      <x:c r="M54" s="93"/>
    </x:row>
    <x:row r="55" ht="15">
      <x:c r="A55" s="93"/>
      <x:c r="B55" s="93"/>
      <x:c r="C55" s="93"/>
      <x:c r="D55" s="93"/>
      <x:c r="E55" s="93"/>
      <x:c r="F55" s="93"/>
      <x:c r="G55" s="93"/>
      <x:c r="H55" s="93"/>
      <x:c r="I55" s="93"/>
      <x:c r="J55" s="93"/>
      <x:c r="K55" s="93"/>
      <x:c r="L55" s="93"/>
      <x:c r="M55" s="93"/>
    </x:row>
    <x:row r="56" ht="15">
      <x:c r="A56" s="93"/>
      <x:c r="B56" s="93"/>
      <x:c r="C56" s="93"/>
      <x:c r="D56" s="93"/>
      <x:c r="E56" s="93"/>
      <x:c r="F56" s="93"/>
      <x:c r="G56" s="93"/>
      <x:c r="H56" s="93"/>
      <x:c r="I56" s="93"/>
      <x:c r="J56" s="93"/>
      <x:c r="K56" s="93"/>
      <x:c r="L56" s="93"/>
      <x:c r="M56" s="93"/>
    </x:row>
    <x:row r="57" ht="15">
      <x:c r="A57" s="93"/>
      <x:c r="B57" s="93"/>
      <x:c r="C57" s="93"/>
      <x:c r="D57" s="93"/>
      <x:c r="E57" s="93"/>
      <x:c r="F57" s="93"/>
      <x:c r="G57" s="93"/>
      <x:c r="H57" s="93"/>
      <x:c r="I57" s="93"/>
      <x:c r="J57" s="93"/>
      <x:c r="K57" s="93"/>
      <x:c r="L57" s="93"/>
      <x:c r="M57" s="93"/>
    </x:row>
    <x:row r="58" ht="15">
      <x:c r="A58" s="93"/>
      <x:c r="B58" s="93"/>
      <x:c r="C58" s="93"/>
      <x:c r="D58" s="93"/>
      <x:c r="E58" s="93"/>
      <x:c r="F58" s="93"/>
      <x:c r="G58" s="93"/>
      <x:c r="H58" s="93"/>
      <x:c r="I58" s="93"/>
      <x:c r="J58" s="93"/>
      <x:c r="K58" s="93"/>
      <x:c r="L58" s="93"/>
      <x:c r="M58" s="93"/>
    </x:row>
    <x:row r="59" ht="15">
      <x:c r="A59" s="93"/>
      <x:c r="B59" s="93"/>
      <x:c r="C59" s="93"/>
      <x:c r="D59" s="93"/>
      <x:c r="E59" s="93"/>
      <x:c r="F59" s="93"/>
      <x:c r="G59" s="93"/>
      <x:c r="H59" s="93"/>
      <x:c r="I59" s="93"/>
      <x:c r="J59" s="93"/>
      <x:c r="K59" s="93"/>
      <x:c r="L59" s="93"/>
      <x:c r="M59" s="93"/>
    </x:row>
    <x:row r="60" ht="15">
      <x:c r="A60" s="93"/>
      <x:c r="B60" s="93"/>
      <x:c r="C60" s="93"/>
      <x:c r="D60" s="93"/>
      <x:c r="E60" s="93"/>
      <x:c r="F60" s="93"/>
      <x:c r="G60" s="93"/>
      <x:c r="H60" s="93"/>
      <x:c r="I60" s="93"/>
      <x:c r="J60" s="93"/>
      <x:c r="K60" s="93"/>
      <x:c r="L60" s="93"/>
      <x:c r="M60" s="93"/>
    </x:row>
  </x:sheetData>
  <x:mergeCells>
    <x:mergeCell ref="A1:H1"/>
    <x:mergeCell ref="A2:H2"/>
    <x:mergeCell ref="A16:H1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25"/>
  <x:cols>
    <x:col min="1" max="1" width="11" hidden="0" customWidth="1"/>
    <x:col min="2" max="2" width="12" hidden="0" customWidth="1"/>
    <x:col min="3" max="3" width="12" hidden="0" customWidth="1"/>
    <x:col min="4" max="4" width="14" hidden="0" customWidth="1"/>
    <x:col min="5" max="5" width="13" hidden="0" customWidth="1"/>
    <x:col min="6" max="6" width="12" hidden="0" customWidth="1"/>
    <x:col min="7" max="7" width="13" hidden="0" customWidth="1"/>
    <x:col min="8" max="8" width="13" hidden="0" customWidth="1"/>
    <x:col min="9" max="9" width="14" hidden="0" customWidth="1"/>
    <x:col min="10" max="10" width="12" hidden="0" customWidth="1"/>
    <x:col min="11" max="11" width="13" hidden="0" customWidth="1"/>
    <x:col min="12" max="12" width="13" hidden="0" customWidth="1"/>
    <x:col min="13" max="13" width="14" hidden="0" customWidth="1"/>
    <x:col min="14" max="14" width="14" hidden="0" customWidth="1"/>
    <x:col min="15" max="15" width="12" hidden="0" customWidth="1"/>
    <x:col min="16" max="16" width="12" hidden="0" customWidth="1"/>
    <x:col min="17" max="17" width="12" hidden="0" customWidth="1"/>
    <x:col min="18" max="18" width="13" hidden="0" customWidth="1"/>
    <x:col min="19" max="19" width="13" hidden="0" customWidth="1"/>
    <x:col min="19" max="19" width="14" hidden="0" customWidth="1"/>
    <x:col min="20" max="20" width="13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</x:cols>
  <x:sheetData>
    <x:row r="1" ht="30" customHeight="1">
      <x:c r="A1" s="201" t="str">
        <x:v>Zomato India | Sales Transactions</x:v>
      </x:c>
      <x:c r="B1" s="201"/>
      <x:c r="C1" s="201"/>
      <x:c r="D1" s="201"/>
      <x:c r="E1" s="201"/>
      <x:c r="F1" s="201"/>
      <x:c r="G1" s="201"/>
      <x:c r="H1" s="201"/>
      <x:c r="I1" s="201"/>
      <x:c r="J1" s="201"/>
      <x:c r="K1" s="201"/>
      <x:c r="L1" s="201"/>
      <x:c r="M1" s="201"/>
      <x:c r="N1" s="201"/>
      <x:c r="O1" s="201"/>
      <x:c r="P1" s="201"/>
      <x:c r="Q1" s="201"/>
      <x:c r="R1" s="204"/>
      <x:c r="S1" s="204"/>
      <x:c r="T1" s="204"/>
      <x:c r="U1" s="204"/>
      <x:c r="V1" s="204"/>
      <x:c r="W1" s="204"/>
      <x:c r="X1" s="204"/>
      <x:c r="Y1" s="204"/>
      <x:c r="Z1" s="204"/>
    </x:row>
    <x:row r="2" ht="20.100000381469727" customHeight="1">
      <x:c r="A2" s="192" t="str">
        <x:v>Clean analytical order schedule | formulas linked to Raw Data</x:v>
      </x:c>
      <x:c r="B2" s="192"/>
      <x:c r="C2" s="236"/>
      <x:c r="D2" s="192"/>
      <x:c r="E2" s="192"/>
      <x:c r="F2" s="192"/>
      <x:c r="G2" s="192"/>
      <x:c r="H2" s="192"/>
      <x:c r="I2" s="192"/>
      <x:c r="J2" s="192"/>
      <x:c r="K2" s="192"/>
      <x:c r="L2" s="192"/>
      <x:c r="M2" s="192"/>
      <x:c r="N2" s="192"/>
      <x:c r="O2" s="192"/>
      <x:c r="P2" s="192"/>
      <x:c r="Q2" s="192"/>
      <x:c r="R2" s="192"/>
      <x:c r="S2" s="192"/>
      <x:c r="T2" s="192"/>
    </x:row>
    <x:row r="3" ht="15">
      <x:c r="A3" s="187"/>
      <x:c r="B3" s="187"/>
      <x:c r="C3" s="234"/>
      <x:c r="D3" s="187"/>
      <x:c r="E3" s="187"/>
      <x:c r="F3" s="187"/>
      <x:c r="G3" s="187"/>
      <x:c r="H3" s="187"/>
      <x:c r="I3" s="187"/>
      <x:c r="J3" s="187"/>
      <x:c r="K3" s="187"/>
      <x:c r="L3" s="187"/>
      <x:c r="M3" s="187"/>
      <x:c r="N3" s="187"/>
      <x:c r="O3" s="187"/>
      <x:c r="P3" s="187"/>
      <x:c r="Q3" s="187"/>
      <x:c r="R3" s="192"/>
      <x:c r="S3" s="192"/>
      <x:c r="T3" s="192"/>
    </x:row>
    <x:row r="4">
      <x:c r="A4" s="177" t="str">
        <x:v>Order ID</x:v>
      </x:c>
      <x:c r="B4" s="177" t="str">
        <x:v>Date</x:v>
      </x:c>
      <x:c r="C4" s="235" t="str">
        <x:v>Region</x:v>
      </x:c>
      <x:c r="D4" s="177" t="str">
        <x:v>City</x:v>
      </x:c>
      <x:c r="E4" s="177" t="str">
        <x:v>Cuisine / Category</x:v>
      </x:c>
      <x:c r="F4" s="177" t="str">
        <x:v>Customer Segment</x:v>
      </x:c>
      <x:c r="G4" s="177" t="str">
        <x:v>Customer</x:v>
      </x:c>
      <x:c r="H4" s="177" t="str">
        <x:v>Orders</x:v>
      </x:c>
      <x:c r="I4" s="177" t="str">
        <x:v>Gross AOV (₹)</x:v>
      </x:c>
      <x:c r="J4" s="177" t="str">
        <x:v>Discount %</x:v>
      </x:c>
      <x:c r="K4" s="177" t="str">
        <x:v>Gross Sales (₹)</x:v>
      </x:c>
      <x:c r="L4" s="177" t="str">
        <x:v>Revenue (₹)</x:v>
      </x:c>
      <x:c r="M4" s="177" t="str">
        <x:v>COGS (₹)</x:v>
      </x:c>
      <x:c r="N4" s="177" t="str">
        <x:v>Gross Profit (₹)</x:v>
      </x:c>
      <x:c r="O4" s="177" t="str">
        <x:v>Operating Expense (₹)</x:v>
      </x:c>
      <x:c r="P4" s="177" t="str">
        <x:v>Net Profit (₹)</x:v>
      </x:c>
      <x:c r="Q4" s="177" t="str">
        <x:v>Sales Target (₹)</x:v>
      </x:c>
      <x:c r="R4" s="215" t="str">
        <x:v>Gross Margin %</x:v>
      </x:c>
      <x:c r="S4" s="215" t="str">
        <x:v>Net Margin %</x:v>
      </x:c>
      <x:c r="T4" s="215" t="str">
        <x:v>Attainment %</x:v>
      </x:c>
    </x:row>
    <x:row r="5" ht="15">
      <x:c r="A5" s="187" t="str">
        <x:f>'Raw Data'!A5</x:f>
        <x:v>ZOM-0001</x:v>
      </x:c>
      <x:c r="B5" s="188" t="n">
        <x:f>'Raw Data'!B5</x:f>
        <x:v>45658</x:v>
      </x:c>
      <x:c r="C5" s="234" t="str">
        <x:f>'Raw Data'!C5</x:f>
        <x:v>East</x:v>
      </x:c>
      <x:c r="D5" s="187" t="str">
        <x:f>'Raw Data'!D5</x:f>
        <x:v>Kolkata</x:v>
      </x:c>
      <x:c r="E5" s="187" t="str">
        <x:f>'Raw Data'!E5</x:f>
        <x:v>Desserts</x:v>
      </x:c>
      <x:c r="F5" s="187" t="str">
        <x:f>'Raw Data'!F5</x:f>
        <x:v>Repeat User</x:v>
      </x:c>
      <x:c r="G5" s="187" t="str">
        <x:f>'Raw Data'!G5</x:f>
        <x:v>Repeat User Customer 15</x:v>
      </x:c>
      <x:c r="H5" s="187" t="n">
        <x:f>'Raw Data'!H5</x:f>
        <x:v>77</x:v>
      </x:c>
      <x:c r="I5" s="190" t="n">
        <x:f>'Raw Data'!I5</x:f>
        <x:v>318</x:v>
      </x:c>
      <x:c r="J5" s="191" t="n">
        <x:f>'Raw Data'!J5</x:f>
        <x:v>0.030000000000000002</x:v>
      </x:c>
      <x:c r="K5" s="190" t="n">
        <x:f>'Raw Data'!K5</x:f>
        <x:v>24486</x:v>
      </x:c>
      <x:c r="L5" s="190" t="n">
        <x:f>'Raw Data'!L5</x:f>
        <x:v>23751.42</x:v>
      </x:c>
      <x:c r="M5" s="190" t="n">
        <x:f>'Raw Data'!M5</x:f>
        <x:v>16388.479799999997</x:v>
      </x:c>
      <x:c r="N5" s="190" t="n">
        <x:f>'Raw Data'!N5</x:f>
        <x:v>7362.940200000001</x:v>
      </x:c>
      <x:c r="O5" s="190" t="n">
        <x:f>'Raw Data'!O5</x:f>
        <x:v>3087.6846</x:v>
      </x:c>
      <x:c r="P5" s="190" t="n">
        <x:f>'Raw Data'!P5</x:f>
        <x:v>4275.2556</x:v>
      </x:c>
      <x:c r="Q5" s="190" t="n">
        <x:f>'Raw Data'!Q5</x:f>
        <x:v>24018.46739927441</x:v>
      </x:c>
      <x:c r="R5" s="196" t="n">
        <x:f t="shared" ref="R5:R68" si="0">IFERROR(N5/L5,0)</x:f>
        <x:v>0.31000000000000005</x:v>
      </x:c>
      <x:c r="S5" s="196" t="n">
        <x:f t="shared" ref="S5:S68" si="1">IFERROR(P5/L5,0)</x:f>
        <x:v>0.18000000000000002</x:v>
      </x:c>
      <x:c r="T5" s="196" t="n">
        <x:f t="shared" ref="T5:T68" si="2">IFERROR(L5/Q5,0)</x:f>
        <x:v>0.988881580375837</x:v>
      </x:c>
    </x:row>
    <x:row r="6" ht="15">
      <x:c r="A6" s="187" t="str">
        <x:f>'Raw Data'!A6</x:f>
        <x:v>ZOM-0002</x:v>
      </x:c>
      <x:c r="B6" s="188" t="n">
        <x:f>'Raw Data'!B6</x:f>
        <x:v>45659</x:v>
      </x:c>
      <x:c r="C6" s="234" t="str">
        <x:f>'Raw Data'!C6</x:f>
        <x:v>West</x:v>
      </x:c>
      <x:c r="D6" s="187" t="str">
        <x:f>'Raw Data'!D6</x:f>
        <x:v>Mumbai</x:v>
      </x:c>
      <x:c r="E6" s="187" t="str">
        <x:f>'Raw Data'!E6</x:f>
        <x:v>Chinese</x:v>
      </x:c>
      <x:c r="F6" s="187" t="str">
        <x:f>'Raw Data'!F6</x:f>
        <x:v>Budget</x:v>
      </x:c>
      <x:c r="G6" s="187" t="str">
        <x:f>'Raw Data'!G6</x:f>
        <x:v>Budget Customer 52</x:v>
      </x:c>
      <x:c r="H6" s="187" t="n">
        <x:f>'Raw Data'!H6</x:f>
        <x:v>122</x:v>
      </x:c>
      <x:c r="I6" s="190" t="n">
        <x:f>'Raw Data'!I6</x:f>
        <x:v>440</x:v>
      </x:c>
      <x:c r="J6" s="191" t="n">
        <x:f>'Raw Data'!J6</x:f>
        <x:v>0.11</x:v>
      </x:c>
      <x:c r="K6" s="190" t="n">
        <x:f>'Raw Data'!K6</x:f>
        <x:v>53680</x:v>
      </x:c>
      <x:c r="L6" s="190" t="n">
        <x:f>'Raw Data'!L6</x:f>
        <x:v>47775.2</x:v>
      </x:c>
      <x:c r="M6" s="190" t="n">
        <x:f>'Raw Data'!M6</x:f>
        <x:v>35353.648</x:v>
      </x:c>
      <x:c r="N6" s="190" t="n">
        <x:f>'Raw Data'!N6</x:f>
        <x:v>12421.551999999996</x:v>
      </x:c>
      <x:c r="O6" s="190" t="n">
        <x:f>'Raw Data'!O6</x:f>
        <x:v>6210.776</x:v>
      </x:c>
      <x:c r="P6" s="190" t="n">
        <x:f>'Raw Data'!P6</x:f>
        <x:v>6210.775999999996</x:v>
      </x:c>
      <x:c r="Q6" s="190" t="n">
        <x:f>'Raw Data'!Q6</x:f>
        <x:v>47812.45754520455</x:v>
      </x:c>
      <x:c r="R6" s="196" t="n">
        <x:f t="shared" si="0">IFERROR(N6/L6,0)</x:f>
        <x:v>0.25999999999999995</x:v>
      </x:c>
      <x:c r="S6" s="196" t="n">
        <x:f t="shared" si="1">IFERROR(P6/L6,0)</x:f>
        <x:v>0.12999999999999992</x:v>
      </x:c>
      <x:c r="T6" s="196" t="n">
        <x:f t="shared" si="2">IFERROR(L6/Q6,0)</x:f>
        <x:v>0.9992207565325559</x:v>
      </x:c>
    </x:row>
    <x:row r="7" ht="15">
      <x:c r="A7" s="187" t="str">
        <x:f>'Raw Data'!A7</x:f>
        <x:v>ZOM-0003</x:v>
      </x:c>
      <x:c r="B7" s="188" t="n">
        <x:f>'Raw Data'!B7</x:f>
        <x:v>45660</x:v>
      </x:c>
      <x:c r="C7" s="234" t="str">
        <x:f>'Raw Data'!C7</x:f>
        <x:v>North</x:v>
      </x:c>
      <x:c r="D7" s="187" t="str">
        <x:f>'Raw Data'!D7</x:f>
        <x:v>Jaipur</x:v>
      </x:c>
      <x:c r="E7" s="187" t="str">
        <x:f>'Raw Data'!E7</x:f>
        <x:v>Pizza</x:v>
      </x:c>
      <x:c r="F7" s="187" t="str">
        <x:f>'Raw Data'!F7</x:f>
        <x:v>New User</x:v>
      </x:c>
      <x:c r="G7" s="187" t="str">
        <x:f>'Raw Data'!G7</x:f>
        <x:v>New User Customer 52</x:v>
      </x:c>
      <x:c r="H7" s="187" t="n">
        <x:f>'Raw Data'!H7</x:f>
        <x:v>105</x:v>
      </x:c>
      <x:c r="I7" s="190" t="n">
        <x:f>'Raw Data'!I7</x:f>
        <x:v>536</x:v>
      </x:c>
      <x:c r="J7" s="191" t="n">
        <x:f>'Raw Data'!J7</x:f>
        <x:v>0.09</x:v>
      </x:c>
      <x:c r="K7" s="190" t="n">
        <x:f>'Raw Data'!K7</x:f>
        <x:v>56280</x:v>
      </x:c>
      <x:c r="L7" s="190" t="n">
        <x:f>'Raw Data'!L7</x:f>
        <x:v>51214.8</x:v>
      </x:c>
      <x:c r="M7" s="190" t="n">
        <x:f>'Raw Data'!M7</x:f>
        <x:v>37898.952000000005</x:v>
      </x:c>
      <x:c r="N7" s="190" t="n">
        <x:f>'Raw Data'!N7</x:f>
        <x:v>13315.847999999998</x:v>
      </x:c>
      <x:c r="O7" s="190" t="n">
        <x:f>'Raw Data'!O7</x:f>
        <x:v>6657.924000000001</x:v>
      </x:c>
      <x:c r="P7" s="190" t="n">
        <x:f>'Raw Data'!P7</x:f>
        <x:v>6657.923999999997</x:v>
      </x:c>
      <x:c r="Q7" s="190" t="n">
        <x:f>'Raw Data'!Q7</x:f>
        <x:v>54925.16495414989</x:v>
      </x:c>
      <x:c r="R7" s="196" t="n">
        <x:f t="shared" si="0">IFERROR(N7/L7,0)</x:f>
        <x:v>0.25999999999999995</x:v>
      </x:c>
      <x:c r="S7" s="196" t="n">
        <x:f t="shared" si="1">IFERROR(P7/L7,0)</x:f>
        <x:v>0.12999999999999995</x:v>
      </x:c>
      <x:c r="T7" s="196" t="n">
        <x:f t="shared" si="2">IFERROR(L7/Q7,0)</x:f>
        <x:v>0.9324469037599212</x:v>
      </x:c>
    </x:row>
    <x:row r="8" ht="15">
      <x:c r="A8" s="187" t="str">
        <x:f>'Raw Data'!A8</x:f>
        <x:v>ZOM-0004</x:v>
      </x:c>
      <x:c r="B8" s="188" t="n">
        <x:f>'Raw Data'!B8</x:f>
        <x:v>45661</x:v>
      </x:c>
      <x:c r="C8" s="234" t="str">
        <x:f>'Raw Data'!C8</x:f>
        <x:v>North</x:v>
      </x:c>
      <x:c r="D8" s="187" t="str">
        <x:f>'Raw Data'!D8</x:f>
        <x:v>Jaipur</x:v>
      </x:c>
      <x:c r="E8" s="187" t="str">
        <x:f>'Raw Data'!E8</x:f>
        <x:v>Chinese</x:v>
      </x:c>
      <x:c r="F8" s="187" t="str">
        <x:f>'Raw Data'!F8</x:f>
        <x:v>Student</x:v>
      </x:c>
      <x:c r="G8" s="187" t="str">
        <x:f>'Raw Data'!G8</x:f>
        <x:v>Student Customer 37</x:v>
      </x:c>
      <x:c r="H8" s="187" t="n">
        <x:f>'Raw Data'!H8</x:f>
        <x:v>90</x:v>
      </x:c>
      <x:c r="I8" s="190" t="n">
        <x:f>'Raw Data'!I8</x:f>
        <x:v>376</x:v>
      </x:c>
      <x:c r="J8" s="191" t="n">
        <x:f>'Raw Data'!J8</x:f>
        <x:v>0.12</x:v>
      </x:c>
      <x:c r="K8" s="190" t="n">
        <x:f>'Raw Data'!K8</x:f>
        <x:v>33840</x:v>
      </x:c>
      <x:c r="L8" s="190" t="n">
        <x:f>'Raw Data'!L8</x:f>
        <x:v>29779.2</x:v>
      </x:c>
      <x:c r="M8" s="190" t="n">
        <x:f>'Raw Data'!M8</x:f>
        <x:v>22036.608</x:v>
      </x:c>
      <x:c r="N8" s="190" t="n">
        <x:f>'Raw Data'!N8</x:f>
        <x:v>7742.592000000001</x:v>
      </x:c>
      <x:c r="O8" s="190" t="n">
        <x:f>'Raw Data'!O8</x:f>
        <x:v>3871.2960000000003</x:v>
      </x:c>
      <x:c r="P8" s="190" t="n">
        <x:f>'Raw Data'!P8</x:f>
        <x:v>3871.2960000000003</x:v>
      </x:c>
      <x:c r="Q8" s="190" t="n">
        <x:f>'Raw Data'!Q8</x:f>
        <x:v>32858.51305508817</x:v>
      </x:c>
      <x:c r="R8" s="196" t="n">
        <x:f t="shared" si="0">IFERROR(N8/L8,0)</x:f>
        <x:v>0.26</x:v>
      </x:c>
      <x:c r="S8" s="196" t="n">
        <x:f t="shared" si="1">IFERROR(P8/L8,0)</x:f>
        <x:v>0.13</x:v>
      </x:c>
      <x:c r="T8" s="196" t="n">
        <x:f t="shared" si="2">IFERROR(L8/Q8,0)</x:f>
        <x:v>0.9062856846283451</x:v>
      </x:c>
    </x:row>
    <x:row r="9" ht="15">
      <x:c r="A9" s="187" t="str">
        <x:f>'Raw Data'!A9</x:f>
        <x:v>ZOM-0005</x:v>
      </x:c>
      <x:c r="B9" s="188" t="n">
        <x:f>'Raw Data'!B9</x:f>
        <x:v>45662</x:v>
      </x:c>
      <x:c r="C9" s="234" t="str">
        <x:f>'Raw Data'!C9</x:f>
        <x:v>South</x:v>
      </x:c>
      <x:c r="D9" s="187" t="str">
        <x:f>'Raw Data'!D9</x:f>
        <x:v>Bengaluru</x:v>
      </x:c>
      <x:c r="E9" s="187" t="str">
        <x:f>'Raw Data'!E9</x:f>
        <x:v>North Indian</x:v>
      </x:c>
      <x:c r="F9" s="187" t="str">
        <x:f>'Raw Data'!F9</x:f>
        <x:v>Repeat User</x:v>
      </x:c>
      <x:c r="G9" s="187" t="str">
        <x:f>'Raw Data'!G9</x:f>
        <x:v>Repeat User Customer 54</x:v>
      </x:c>
      <x:c r="H9" s="187" t="n">
        <x:f>'Raw Data'!H9</x:f>
        <x:v>111</x:v>
      </x:c>
      <x:c r="I9" s="190" t="n">
        <x:f>'Raw Data'!I9</x:f>
        <x:v>647</x:v>
      </x:c>
      <x:c r="J9" s="191" t="n">
        <x:f>'Raw Data'!J9</x:f>
        <x:v>0.05</x:v>
      </x:c>
      <x:c r="K9" s="190" t="n">
        <x:f>'Raw Data'!K9</x:f>
        <x:v>71817</x:v>
      </x:c>
      <x:c r="L9" s="190" t="n">
        <x:f>'Raw Data'!L9</x:f>
        <x:v>68226.15</x:v>
      </x:c>
      <x:c r="M9" s="190" t="n">
        <x:f>'Raw Data'!M9</x:f>
        <x:v>49805.089499999995</x:v>
      </x:c>
      <x:c r="N9" s="190" t="n">
        <x:f>'Raw Data'!N9</x:f>
        <x:v>18421.0605</x:v>
      </x:c>
      <x:c r="O9" s="190" t="n">
        <x:f>'Raw Data'!O9</x:f>
        <x:v>8869.3995</x:v>
      </x:c>
      <x:c r="P9" s="190" t="n">
        <x:f>'Raw Data'!P9</x:f>
        <x:v>9551.661</x:v>
      </x:c>
      <x:c r="Q9" s="190" t="n">
        <x:f>'Raw Data'!Q9</x:f>
        <x:v>71938.28271611211</x:v>
      </x:c>
      <x:c r="R9" s="196" t="n">
        <x:f t="shared" si="0">IFERROR(N9/L9,0)</x:f>
        <x:v>0.27</x:v>
      </x:c>
      <x:c r="S9" s="196" t="n">
        <x:f t="shared" si="1">IFERROR(P9/L9,0)</x:f>
        <x:v>0.14</x:v>
      </x:c>
      <x:c r="T9" s="196" t="n">
        <x:f t="shared" si="2">IFERROR(L9/Q9,0)</x:f>
        <x:v>0.9483983690469622</x:v>
      </x:c>
    </x:row>
    <x:row r="10" ht="15">
      <x:c r="A10" s="187" t="str">
        <x:f>'Raw Data'!A10</x:f>
        <x:v>ZOM-0006</x:v>
      </x:c>
      <x:c r="B10" s="188" t="n">
        <x:f>'Raw Data'!B10</x:f>
        <x:v>45663</x:v>
      </x:c>
      <x:c r="C10" s="234" t="str">
        <x:f>'Raw Data'!C10</x:f>
        <x:v>South</x:v>
      </x:c>
      <x:c r="D10" s="187" t="str">
        <x:f>'Raw Data'!D10</x:f>
        <x:v>Chennai</x:v>
      </x:c>
      <x:c r="E10" s="187" t="str">
        <x:f>'Raw Data'!E10</x:f>
        <x:v>Pizza</x:v>
      </x:c>
      <x:c r="F10" s="187" t="str">
        <x:f>'Raw Data'!F10</x:f>
        <x:v>Budget</x:v>
      </x:c>
      <x:c r="G10" s="187" t="str">
        <x:f>'Raw Data'!G10</x:f>
        <x:v>Budget Customer 18</x:v>
      </x:c>
      <x:c r="H10" s="187" t="n">
        <x:f>'Raw Data'!H10</x:f>
        <x:v>67</x:v>
      </x:c>
      <x:c r="I10" s="190" t="n">
        <x:f>'Raw Data'!I10</x:f>
        <x:v>671</x:v>
      </x:c>
      <x:c r="J10" s="191" t="n">
        <x:f>'Raw Data'!J10</x:f>
        <x:v>0.1</x:v>
      </x:c>
      <x:c r="K10" s="190" t="n">
        <x:f>'Raw Data'!K10</x:f>
        <x:v>44957</x:v>
      </x:c>
      <x:c r="L10" s="190" t="n">
        <x:f>'Raw Data'!L10</x:f>
        <x:v>40461.3</x:v>
      </x:c>
      <x:c r="M10" s="190" t="n">
        <x:f>'Raw Data'!M10</x:f>
        <x:v>29941.362</x:v>
      </x:c>
      <x:c r="N10" s="190" t="n">
        <x:f>'Raw Data'!N10</x:f>
        <x:v>10519.938000000002</x:v>
      </x:c>
      <x:c r="O10" s="190" t="n">
        <x:f>'Raw Data'!O10</x:f>
        <x:v>5259.969000000001</x:v>
      </x:c>
      <x:c r="P10" s="190" t="n">
        <x:f>'Raw Data'!P10</x:f>
        <x:v>5259.969000000001</x:v>
      </x:c>
      <x:c r="Q10" s="190" t="n">
        <x:f>'Raw Data'!Q10</x:f>
        <x:v>42705.73789317259</x:v>
      </x:c>
      <x:c r="R10" s="196" t="n">
        <x:f t="shared" si="0">IFERROR(N10/L10,0)</x:f>
        <x:v>0.26</x:v>
      </x:c>
      <x:c r="S10" s="196" t="n">
        <x:f t="shared" si="1">IFERROR(P10/L10,0)</x:f>
        <x:v>0.13</x:v>
      </x:c>
      <x:c r="T10" s="196" t="n">
        <x:f t="shared" si="2">IFERROR(L10/Q10,0)</x:f>
        <x:v>0.9474441139786182</x:v>
      </x:c>
    </x:row>
    <x:row r="11" ht="15">
      <x:c r="A11" s="187" t="str">
        <x:f>'Raw Data'!A11</x:f>
        <x:v>ZOM-0007</x:v>
      </x:c>
      <x:c r="B11" s="188" t="n">
        <x:f>'Raw Data'!B11</x:f>
        <x:v>45664</x:v>
      </x:c>
      <x:c r="C11" s="234" t="str">
        <x:f>'Raw Data'!C11</x:f>
        <x:v>Metro</x:v>
      </x:c>
      <x:c r="D11" s="187" t="str">
        <x:f>'Raw Data'!D11</x:f>
        <x:v>Pune</x:v>
      </x:c>
      <x:c r="E11" s="187" t="str">
        <x:f>'Raw Data'!E11</x:f>
        <x:v>Biryani</x:v>
      </x:c>
      <x:c r="F11" s="187" t="str">
        <x:f>'Raw Data'!F11</x:f>
        <x:v>Repeat User</x:v>
      </x:c>
      <x:c r="G11" s="187" t="str">
        <x:f>'Raw Data'!G11</x:f>
        <x:v>Repeat User Customer 59</x:v>
      </x:c>
      <x:c r="H11" s="187" t="n">
        <x:f>'Raw Data'!H11</x:f>
        <x:v>86</x:v>
      </x:c>
      <x:c r="I11" s="190" t="n">
        <x:f>'Raw Data'!I11</x:f>
        <x:v>423</x:v>
      </x:c>
      <x:c r="J11" s="191" t="n">
        <x:f>'Raw Data'!J11</x:f>
        <x:v>0.030000000000000002</x:v>
      </x:c>
      <x:c r="K11" s="190" t="n">
        <x:f>'Raw Data'!K11</x:f>
        <x:v>36378</x:v>
      </x:c>
      <x:c r="L11" s="190" t="n">
        <x:f>'Raw Data'!L11</x:f>
        <x:v>35286.659999999996</x:v>
      </x:c>
      <x:c r="M11" s="190" t="n">
        <x:f>'Raw Data'!M11</x:f>
        <x:v>26112.128399999998</x:v>
      </x:c>
      <x:c r="N11" s="190" t="n">
        <x:f>'Raw Data'!N11</x:f>
        <x:v>9174.531599999998</x:v>
      </x:c>
      <x:c r="O11" s="190" t="n">
        <x:f>'Raw Data'!O11</x:f>
        <x:v>4587.265799999999</x:v>
      </x:c>
      <x:c r="P11" s="190" t="n">
        <x:f>'Raw Data'!P11</x:f>
        <x:v>4587.265799999999</x:v>
      </x:c>
      <x:c r="Q11" s="190" t="n">
        <x:f>'Raw Data'!Q11</x:f>
        <x:v>35566.92897695689</x:v>
      </x:c>
      <x:c r="R11" s="196" t="n">
        <x:f t="shared" si="0">IFERROR(N11/L11,0)</x:f>
        <x:v>0.26</x:v>
      </x:c>
      <x:c r="S11" s="196" t="n">
        <x:f t="shared" si="1">IFERROR(P11/L11,0)</x:f>
        <x:v>0.13</x:v>
      </x:c>
      <x:c r="T11" s="196" t="n">
        <x:f t="shared" si="2">IFERROR(L11/Q11,0)</x:f>
        <x:v>0.9921199556717849</x:v>
      </x:c>
    </x:row>
    <x:row r="12" ht="15">
      <x:c r="A12" s="187" t="str">
        <x:f>'Raw Data'!A12</x:f>
        <x:v>ZOM-0008</x:v>
      </x:c>
      <x:c r="B12" s="188" t="n">
        <x:f>'Raw Data'!B12</x:f>
        <x:v>45665</x:v>
      </x:c>
      <x:c r="C12" s="234" t="str">
        <x:f>'Raw Data'!C12</x:f>
        <x:v>Metro</x:v>
      </x:c>
      <x:c r="D12" s="187" t="str">
        <x:f>'Raw Data'!D12</x:f>
        <x:v>Bengaluru</x:v>
      </x:c>
      <x:c r="E12" s="187" t="str">
        <x:f>'Raw Data'!E12</x:f>
        <x:v>Biryani</x:v>
      </x:c>
      <x:c r="F12" s="187" t="str">
        <x:f>'Raw Data'!F12</x:f>
        <x:v>Gold User</x:v>
      </x:c>
      <x:c r="G12" s="187" t="str">
        <x:f>'Raw Data'!G12</x:f>
        <x:v>Gold User Customer 38</x:v>
      </x:c>
      <x:c r="H12" s="187" t="n">
        <x:f>'Raw Data'!H12</x:f>
        <x:v>159</x:v>
      </x:c>
      <x:c r="I12" s="190" t="n">
        <x:f>'Raw Data'!I12</x:f>
        <x:v>405</x:v>
      </x:c>
      <x:c r="J12" s="191" t="n">
        <x:f>'Raw Data'!J12</x:f>
        <x:v>0.03</x:v>
      </x:c>
      <x:c r="K12" s="190" t="n">
        <x:f>'Raw Data'!K12</x:f>
        <x:v>64395</x:v>
      </x:c>
      <x:c r="L12" s="190" t="n">
        <x:f>'Raw Data'!L12</x:f>
        <x:v>62463.15</x:v>
      </x:c>
      <x:c r="M12" s="190" t="n">
        <x:f>'Raw Data'!M12</x:f>
        <x:v>46222.731</x:v>
      </x:c>
      <x:c r="N12" s="190" t="n">
        <x:f>'Raw Data'!N12</x:f>
        <x:v>16240.419000000002</x:v>
      </x:c>
      <x:c r="O12" s="190" t="n">
        <x:f>'Raw Data'!O12</x:f>
        <x:v>8120.209500000001</x:v>
      </x:c>
      <x:c r="P12" s="190" t="n">
        <x:f>'Raw Data'!P12</x:f>
        <x:v>8120.209500000001</x:v>
      </x:c>
      <x:c r="Q12" s="190" t="n">
        <x:f>'Raw Data'!Q12</x:f>
        <x:v>64432.55022052913</x:v>
      </x:c>
      <x:c r="R12" s="196" t="n">
        <x:f t="shared" si="0">IFERROR(N12/L12,0)</x:f>
        <x:v>0.26</x:v>
      </x:c>
      <x:c r="S12" s="196" t="n">
        <x:f t="shared" si="1">IFERROR(P12/L12,0)</x:f>
        <x:v>0.13</x:v>
      </x:c>
      <x:c r="T12" s="196" t="n">
        <x:f t="shared" si="2">IFERROR(L12/Q12,0)</x:f>
        <x:v>0.9694347001043947</x:v>
      </x:c>
    </x:row>
    <x:row r="13" ht="15">
      <x:c r="A13" s="187" t="str">
        <x:f>'Raw Data'!A13</x:f>
        <x:v>ZOM-0009</x:v>
      </x:c>
      <x:c r="B13" s="188" t="n">
        <x:f>'Raw Data'!B13</x:f>
        <x:v>45666</x:v>
      </x:c>
      <x:c r="C13" s="234" t="str">
        <x:f>'Raw Data'!C13</x:f>
        <x:v>West</x:v>
      </x:c>
      <x:c r="D13" s="187" t="str">
        <x:f>'Raw Data'!D13</x:f>
        <x:v>Nagpur</x:v>
      </x:c>
      <x:c r="E13" s="187" t="str">
        <x:f>'Raw Data'!E13</x:f>
        <x:v>South Indian</x:v>
      </x:c>
      <x:c r="F13" s="187" t="str">
        <x:f>'Raw Data'!F13</x:f>
        <x:v>Repeat User</x:v>
      </x:c>
      <x:c r="G13" s="187" t="str">
        <x:f>'Raw Data'!G13</x:f>
        <x:v>Repeat User Customer 11</x:v>
      </x:c>
      <x:c r="H13" s="187" t="n">
        <x:f>'Raw Data'!H13</x:f>
        <x:v>94</x:v>
      </x:c>
      <x:c r="I13" s="190" t="n">
        <x:f>'Raw Data'!I13</x:f>
        <x:v>374</x:v>
      </x:c>
      <x:c r="J13" s="191" t="n">
        <x:f>'Raw Data'!J13</x:f>
        <x:v>0.030000000000000002</x:v>
      </x:c>
      <x:c r="K13" s="190" t="n">
        <x:f>'Raw Data'!K13</x:f>
        <x:v>35156</x:v>
      </x:c>
      <x:c r="L13" s="190" t="n">
        <x:f>'Raw Data'!L13</x:f>
        <x:v>34101.32</x:v>
      </x:c>
      <x:c r="M13" s="190" t="n">
        <x:f>'Raw Data'!M13</x:f>
        <x:v>25234.9768</x:v>
      </x:c>
      <x:c r="N13" s="190" t="n">
        <x:f>'Raw Data'!N13</x:f>
        <x:v>8866.3432</x:v>
      </x:c>
      <x:c r="O13" s="190" t="n">
        <x:f>'Raw Data'!O13</x:f>
        <x:v>4433.1716</x:v>
      </x:c>
      <x:c r="P13" s="190" t="n">
        <x:f>'Raw Data'!P13</x:f>
        <x:v>4433.1716</x:v>
      </x:c>
      <x:c r="Q13" s="190" t="n">
        <x:f>'Raw Data'!Q13</x:f>
        <x:v>34726.770888838066</x:v>
      </x:c>
      <x:c r="R13" s="196" t="n">
        <x:f t="shared" si="0">IFERROR(N13/L13,0)</x:f>
        <x:v>0.26</x:v>
      </x:c>
      <x:c r="S13" s="196" t="n">
        <x:f t="shared" si="1">IFERROR(P13/L13,0)</x:f>
        <x:v>0.13</x:v>
      </x:c>
      <x:c r="T13" s="196" t="n">
        <x:f t="shared" si="2">IFERROR(L13/Q13,0)</x:f>
        <x:v>0.9819893738222836</x:v>
      </x:c>
    </x:row>
    <x:row r="14" ht="15">
      <x:c r="A14" s="187" t="str">
        <x:f>'Raw Data'!A14</x:f>
        <x:v>ZOM-0010</x:v>
      </x:c>
      <x:c r="B14" s="188" t="n">
        <x:f>'Raw Data'!B14</x:f>
        <x:v>45667</x:v>
      </x:c>
      <x:c r="C14" s="234" t="str">
        <x:f>'Raw Data'!C14</x:f>
        <x:v>Central</x:v>
      </x:c>
      <x:c r="D14" s="187" t="str">
        <x:f>'Raw Data'!D14</x:f>
        <x:v>Kanpur</x:v>
      </x:c>
      <x:c r="E14" s="187" t="str">
        <x:f>'Raw Data'!E14</x:f>
        <x:v>Chinese</x:v>
      </x:c>
      <x:c r="F14" s="187" t="str">
        <x:f>'Raw Data'!F14</x:f>
        <x:v>Repeat User</x:v>
      </x:c>
      <x:c r="G14" s="187" t="str">
        <x:f>'Raw Data'!G14</x:f>
        <x:v>Repeat User Customer 47</x:v>
      </x:c>
      <x:c r="H14" s="187" t="n">
        <x:f>'Raw Data'!H14</x:f>
        <x:v>124</x:v>
      </x:c>
      <x:c r="I14" s="190" t="n">
        <x:f>'Raw Data'!I14</x:f>
        <x:v>549</x:v>
      </x:c>
      <x:c r="J14" s="191" t="n">
        <x:f>'Raw Data'!J14</x:f>
        <x:v>0.05</x:v>
      </x:c>
      <x:c r="K14" s="190" t="n">
        <x:f>'Raw Data'!K14</x:f>
        <x:v>68076</x:v>
      </x:c>
      <x:c r="L14" s="190" t="n">
        <x:f>'Raw Data'!L14</x:f>
        <x:v>64672.2</x:v>
      </x:c>
      <x:c r="M14" s="190" t="n">
        <x:f>'Raw Data'!M14</x:f>
        <x:v>47857.428</x:v>
      </x:c>
      <x:c r="N14" s="190" t="n">
        <x:f>'Raw Data'!N14</x:f>
        <x:v>16814.771999999997</x:v>
      </x:c>
      <x:c r="O14" s="190" t="n">
        <x:f>'Raw Data'!O14</x:f>
        <x:v>8407.386</x:v>
      </x:c>
      <x:c r="P14" s="190" t="n">
        <x:f>'Raw Data'!P14</x:f>
        <x:v>8407.385999999997</x:v>
      </x:c>
      <x:c r="Q14" s="190" t="n">
        <x:f>'Raw Data'!Q14</x:f>
        <x:v>64761.30035367485</x:v>
      </x:c>
      <x:c r="R14" s="196" t="n">
        <x:f t="shared" si="0">IFERROR(N14/L14,0)</x:f>
        <x:v>0.25999999999999995</x:v>
      </x:c>
      <x:c r="S14" s="196" t="n">
        <x:f t="shared" si="1">IFERROR(P14/L14,0)</x:f>
        <x:v>0.12999999999999995</x:v>
      </x:c>
      <x:c r="T14" s="196" t="n">
        <x:f t="shared" si="2">IFERROR(L14/Q14,0)</x:f>
        <x:v>0.9986241728750309</x:v>
      </x:c>
    </x:row>
    <x:row r="15" ht="15">
      <x:c r="A15" s="187" t="str">
        <x:f>'Raw Data'!A15</x:f>
        <x:v>ZOM-0011</x:v>
      </x:c>
      <x:c r="B15" s="188" t="n">
        <x:f>'Raw Data'!B15</x:f>
        <x:v>45668</x:v>
      </x:c>
      <x:c r="C15" s="234" t="str">
        <x:f>'Raw Data'!C15</x:f>
        <x:v>North</x:v>
      </x:c>
      <x:c r="D15" s="187" t="str">
        <x:f>'Raw Data'!D15</x:f>
        <x:v>Lucknow</x:v>
      </x:c>
      <x:c r="E15" s="187" t="str">
        <x:f>'Raw Data'!E15</x:f>
        <x:v>Desserts</x:v>
      </x:c>
      <x:c r="F15" s="187" t="str">
        <x:f>'Raw Data'!F15</x:f>
        <x:v>Budget</x:v>
      </x:c>
      <x:c r="G15" s="187" t="str">
        <x:f>'Raw Data'!G15</x:f>
        <x:v>Budget Customer 47</x:v>
      </x:c>
      <x:c r="H15" s="187" t="n">
        <x:f>'Raw Data'!H15</x:f>
        <x:v>90</x:v>
      </x:c>
      <x:c r="I15" s="190" t="n">
        <x:f>'Raw Data'!I15</x:f>
        <x:v>243</x:v>
      </x:c>
      <x:c r="J15" s="191" t="n">
        <x:f>'Raw Data'!J15</x:f>
        <x:v>0.11</x:v>
      </x:c>
      <x:c r="K15" s="190" t="n">
        <x:f>'Raw Data'!K15</x:f>
        <x:v>21870</x:v>
      </x:c>
      <x:c r="L15" s="190" t="n">
        <x:f>'Raw Data'!L15</x:f>
        <x:v>19464.3</x:v>
      </x:c>
      <x:c r="M15" s="190" t="n">
        <x:f>'Raw Data'!M15</x:f>
        <x:v>13430.366999999998</x:v>
      </x:c>
      <x:c r="N15" s="190" t="n">
        <x:f>'Raw Data'!N15</x:f>
        <x:v>6033.933000000001</x:v>
      </x:c>
      <x:c r="O15" s="190" t="n">
        <x:f>'Raw Data'!O15</x:f>
        <x:v>2530.359</x:v>
      </x:c>
      <x:c r="P15" s="190" t="n">
        <x:f>'Raw Data'!P15</x:f>
        <x:v>3503.574000000001</x:v>
      </x:c>
      <x:c r="Q15" s="190" t="n">
        <x:f>'Raw Data'!Q15</x:f>
        <x:v>21150.901981074538</x:v>
      </x:c>
      <x:c r="R15" s="196" t="n">
        <x:f t="shared" si="0">IFERROR(N15/L15,0)</x:f>
        <x:v>0.31000000000000005</x:v>
      </x:c>
      <x:c r="S15" s="196" t="n">
        <x:f t="shared" si="1">IFERROR(P15/L15,0)</x:f>
        <x:v>0.18000000000000005</x:v>
      </x:c>
      <x:c r="T15" s="196" t="n">
        <x:f t="shared" si="2">IFERROR(L15/Q15,0)</x:f>
        <x:v>0.9202586262002594</x:v>
      </x:c>
    </x:row>
    <x:row r="16" ht="15">
      <x:c r="A16" s="187" t="str">
        <x:f>'Raw Data'!A16</x:f>
        <x:v>ZOM-0012</x:v>
      </x:c>
      <x:c r="B16" s="188" t="n">
        <x:f>'Raw Data'!B16</x:f>
        <x:v>45669</x:v>
      </x:c>
      <x:c r="C16" s="234" t="str">
        <x:f>'Raw Data'!C16</x:f>
        <x:v>South</x:v>
      </x:c>
      <x:c r="D16" s="187" t="str">
        <x:f>'Raw Data'!D16</x:f>
        <x:v>Coimbatore</x:v>
      </x:c>
      <x:c r="E16" s="187" t="str">
        <x:f>'Raw Data'!E16</x:f>
        <x:v>Desserts</x:v>
      </x:c>
      <x:c r="F16" s="187" t="str">
        <x:f>'Raw Data'!F16</x:f>
        <x:v>Gold User</x:v>
      </x:c>
      <x:c r="G16" s="187" t="str">
        <x:f>'Raw Data'!G16</x:f>
        <x:v>Gold User Customer 24</x:v>
      </x:c>
      <x:c r="H16" s="187" t="n">
        <x:f>'Raw Data'!H16</x:f>
        <x:v>96</x:v>
      </x:c>
      <x:c r="I16" s="190" t="n">
        <x:f>'Raw Data'!I16</x:f>
        <x:v>334</x:v>
      </x:c>
      <x:c r="J16" s="191" t="n">
        <x:f>'Raw Data'!J16</x:f>
        <x:v>0.03</x:v>
      </x:c>
      <x:c r="K16" s="190" t="n">
        <x:f>'Raw Data'!K16</x:f>
        <x:v>32064</x:v>
      </x:c>
      <x:c r="L16" s="190" t="n">
        <x:f>'Raw Data'!L16</x:f>
        <x:v>31102.079999999998</x:v>
      </x:c>
      <x:c r="M16" s="190" t="n">
        <x:f>'Raw Data'!M16</x:f>
        <x:v>21460.435199999996</x:v>
      </x:c>
      <x:c r="N16" s="190" t="n">
        <x:f>'Raw Data'!N16</x:f>
        <x:v>9641.644800000002</x:v>
      </x:c>
      <x:c r="O16" s="190" t="n">
        <x:f>'Raw Data'!O16</x:f>
        <x:v>4043.2704</x:v>
      </x:c>
      <x:c r="P16" s="190" t="n">
        <x:f>'Raw Data'!P16</x:f>
        <x:v>5598.374400000002</x:v>
      </x:c>
      <x:c r="Q16" s="190" t="n">
        <x:f>'Raw Data'!Q16</x:f>
        <x:v>31844.465879996984</x:v>
      </x:c>
      <x:c r="R16" s="196" t="n">
        <x:f t="shared" si="0">IFERROR(N16/L16,0)</x:f>
        <x:v>0.31000000000000005</x:v>
      </x:c>
      <x:c r="S16" s="196" t="n">
        <x:f t="shared" si="1">IFERROR(P16/L16,0)</x:f>
        <x:v>0.18000000000000008</x:v>
      </x:c>
      <x:c r="T16" s="196" t="n">
        <x:f t="shared" si="2">IFERROR(L16/Q16,0)</x:f>
        <x:v>0.9766871304171155</x:v>
      </x:c>
    </x:row>
    <x:row r="17" ht="15">
      <x:c r="A17" s="187" t="str">
        <x:f>'Raw Data'!A17</x:f>
        <x:v>ZOM-0013</x:v>
      </x:c>
      <x:c r="B17" s="188" t="n">
        <x:f>'Raw Data'!B17</x:f>
        <x:v>45670</x:v>
      </x:c>
      <x:c r="C17" s="234" t="str">
        <x:f>'Raw Data'!C17</x:f>
        <x:v>Central</x:v>
      </x:c>
      <x:c r="D17" s="187" t="str">
        <x:f>'Raw Data'!D17</x:f>
        <x:v>Varanasi</x:v>
      </x:c>
      <x:c r="E17" s="187" t="str">
        <x:f>'Raw Data'!E17</x:f>
        <x:v>Snacks</x:v>
      </x:c>
      <x:c r="F17" s="187" t="str">
        <x:f>'Raw Data'!F17</x:f>
        <x:v>Student</x:v>
      </x:c>
      <x:c r="G17" s="187" t="str">
        <x:f>'Raw Data'!G17</x:f>
        <x:v>Student Customer 54</x:v>
      </x:c>
      <x:c r="H17" s="187" t="n">
        <x:f>'Raw Data'!H17</x:f>
        <x:v>46</x:v>
      </x:c>
      <x:c r="I17" s="190" t="n">
        <x:f>'Raw Data'!I17</x:f>
        <x:v>259</x:v>
      </x:c>
      <x:c r="J17" s="191" t="n">
        <x:f>'Raw Data'!J17</x:f>
        <x:v>0.13</x:v>
      </x:c>
      <x:c r="K17" s="190" t="n">
        <x:f>'Raw Data'!K17</x:f>
        <x:v>11914</x:v>
      </x:c>
      <x:c r="L17" s="190" t="n">
        <x:f>'Raw Data'!L17</x:f>
        <x:v>10365.18</x:v>
      </x:c>
      <x:c r="M17" s="190" t="n">
        <x:f>'Raw Data'!M17</x:f>
        <x:v>7670.2332</x:v>
      </x:c>
      <x:c r="N17" s="190" t="n">
        <x:f>'Raw Data'!N17</x:f>
        <x:v>2694.9468000000006</x:v>
      </x:c>
      <x:c r="O17" s="190" t="n">
        <x:f>'Raw Data'!O17</x:f>
        <x:v>1347.4734</x:v>
      </x:c>
      <x:c r="P17" s="190" t="n">
        <x:f>'Raw Data'!P17</x:f>
        <x:v>1347.4734000000005</x:v>
      </x:c>
      <x:c r="Q17" s="190" t="n">
        <x:f>'Raw Data'!Q17</x:f>
        <x:v>11458.153252029038</x:v>
      </x:c>
      <x:c r="R17" s="196" t="n">
        <x:f t="shared" si="0">IFERROR(N17/L17,0)</x:f>
        <x:v>0.26000000000000006</x:v>
      </x:c>
      <x:c r="S17" s="196" t="n">
        <x:f t="shared" si="1">IFERROR(P17/L17,0)</x:f>
        <x:v>0.13000000000000006</x:v>
      </x:c>
      <x:c r="T17" s="196" t="n">
        <x:f t="shared" si="2">IFERROR(L17/Q17,0)</x:f>
        <x:v>0.9046117443196624</x:v>
      </x:c>
    </x:row>
    <x:row r="18" ht="15">
      <x:c r="A18" s="187" t="str">
        <x:f>'Raw Data'!A18</x:f>
        <x:v>ZOM-0014</x:v>
      </x:c>
      <x:c r="B18" s="188" t="n">
        <x:f>'Raw Data'!B18</x:f>
        <x:v>45671</x:v>
      </x:c>
      <x:c r="C18" s="234" t="str">
        <x:f>'Raw Data'!C18</x:f>
        <x:v>Central</x:v>
      </x:c>
      <x:c r="D18" s="187" t="str">
        <x:f>'Raw Data'!D18</x:f>
        <x:v>Indore</x:v>
      </x:c>
      <x:c r="E18" s="187" t="str">
        <x:f>'Raw Data'!E18</x:f>
        <x:v>North Indian</x:v>
      </x:c>
      <x:c r="F18" s="187" t="str">
        <x:f>'Raw Data'!F18</x:f>
        <x:v>Student</x:v>
      </x:c>
      <x:c r="G18" s="187" t="str">
        <x:f>'Raw Data'!G18</x:f>
        <x:v>Student Customer 09</x:v>
      </x:c>
      <x:c r="H18" s="187" t="n">
        <x:f>'Raw Data'!H18</x:f>
        <x:v>52</x:v>
      </x:c>
      <x:c r="I18" s="190" t="n">
        <x:f>'Raw Data'!I18</x:f>
        <x:v>446</x:v>
      </x:c>
      <x:c r="J18" s="191" t="n">
        <x:f>'Raw Data'!J18</x:f>
        <x:v>0.13</x:v>
      </x:c>
      <x:c r="K18" s="190" t="n">
        <x:f>'Raw Data'!K18</x:f>
        <x:v>23192</x:v>
      </x:c>
      <x:c r="L18" s="190" t="n">
        <x:f>'Raw Data'!L18</x:f>
        <x:v>20177.04</x:v>
      </x:c>
      <x:c r="M18" s="190" t="n">
        <x:f>'Raw Data'!M18</x:f>
        <x:v>14729.2392</x:v>
      </x:c>
      <x:c r="N18" s="190" t="n">
        <x:f>'Raw Data'!N18</x:f>
        <x:v>5447.800800000001</x:v>
      </x:c>
      <x:c r="O18" s="190" t="n">
        <x:f>'Raw Data'!O18</x:f>
        <x:v>2623.0152000000003</x:v>
      </x:c>
      <x:c r="P18" s="190" t="n">
        <x:f>'Raw Data'!P18</x:f>
        <x:v>2824.7856000000006</x:v>
      </x:c>
      <x:c r="Q18" s="190" t="n">
        <x:f>'Raw Data'!Q18</x:f>
        <x:v>21466.85204290126</x:v>
      </x:c>
      <x:c r="R18" s="196" t="n">
        <x:f t="shared" si="0">IFERROR(N18/L18,0)</x:f>
        <x:v>0.27</x:v>
      </x:c>
      <x:c r="S18" s="196" t="n">
        <x:f t="shared" si="1">IFERROR(P18/L18,0)</x:f>
        <x:v>0.14</x:v>
      </x:c>
      <x:c r="T18" s="196" t="n">
        <x:f t="shared" si="2">IFERROR(L18/Q18,0)</x:f>
        <x:v>0.9399161069204006</x:v>
      </x:c>
    </x:row>
    <x:row r="19" ht="15">
      <x:c r="A19" s="187" t="str">
        <x:f>'Raw Data'!A19</x:f>
        <x:v>ZOM-0015</x:v>
      </x:c>
      <x:c r="B19" s="188" t="n">
        <x:f>'Raw Data'!B19</x:f>
        <x:v>45672</x:v>
      </x:c>
      <x:c r="C19" s="234" t="str">
        <x:f>'Raw Data'!C19</x:f>
        <x:v>North</x:v>
      </x:c>
      <x:c r="D19" s="187" t="str">
        <x:f>'Raw Data'!D19</x:f>
        <x:v>Jaipur</x:v>
      </x:c>
      <x:c r="E19" s="187" t="str">
        <x:f>'Raw Data'!E19</x:f>
        <x:v>Snacks</x:v>
      </x:c>
      <x:c r="F19" s="187" t="str">
        <x:f>'Raw Data'!F19</x:f>
        <x:v>New User</x:v>
      </x:c>
      <x:c r="G19" s="187" t="str">
        <x:f>'Raw Data'!G19</x:f>
        <x:v>New User Customer 45</x:v>
      </x:c>
      <x:c r="H19" s="187" t="n">
        <x:f>'Raw Data'!H19</x:f>
        <x:v>127</x:v>
      </x:c>
      <x:c r="I19" s="190" t="n">
        <x:f>'Raw Data'!I19</x:f>
        <x:v>287</x:v>
      </x:c>
      <x:c r="J19" s="191" t="n">
        <x:f>'Raw Data'!J19</x:f>
        <x:v>0.09</x:v>
      </x:c>
      <x:c r="K19" s="190" t="n">
        <x:f>'Raw Data'!K19</x:f>
        <x:v>36449</x:v>
      </x:c>
      <x:c r="L19" s="190" t="n">
        <x:f>'Raw Data'!L19</x:f>
        <x:v>33168.590000000004</x:v>
      </x:c>
      <x:c r="M19" s="190" t="n">
        <x:f>'Raw Data'!M19</x:f>
        <x:v>24544.756600000004</x:v>
      </x:c>
      <x:c r="N19" s="190" t="n">
        <x:f>'Raw Data'!N19</x:f>
        <x:v>8623.8334</x:v>
      </x:c>
      <x:c r="O19" s="190" t="n">
        <x:f>'Raw Data'!O19</x:f>
        <x:v>4311.916700000001</x:v>
      </x:c>
      <x:c r="P19" s="190" t="n">
        <x:f>'Raw Data'!P19</x:f>
        <x:v>4311.916699999999</x:v>
      </x:c>
      <x:c r="Q19" s="190" t="n">
        <x:f>'Raw Data'!Q19</x:f>
        <x:v>36174.719797817896</x:v>
      </x:c>
      <x:c r="R19" s="196" t="n">
        <x:f t="shared" si="0">IFERROR(N19/L19,0)</x:f>
        <x:v>0.25999999999999995</x:v>
      </x:c>
      <x:c r="S19" s="196" t="n">
        <x:f t="shared" si="1">IFERROR(P19/L19,0)</x:f>
        <x:v>0.12999999999999995</x:v>
      </x:c>
      <x:c r="T19" s="196" t="n">
        <x:f t="shared" si="2">IFERROR(L19/Q19,0)</x:f>
        <x:v>0.9168997074581563</x:v>
      </x:c>
    </x:row>
    <x:row r="20" ht="15">
      <x:c r="A20" s="187" t="str">
        <x:f>'Raw Data'!A20</x:f>
        <x:v>ZOM-0016</x:v>
      </x:c>
      <x:c r="B20" s="188" t="n">
        <x:f>'Raw Data'!B20</x:f>
        <x:v>45673</x:v>
      </x:c>
      <x:c r="C20" s="234" t="str">
        <x:f>'Raw Data'!C20</x:f>
        <x:v>South</x:v>
      </x:c>
      <x:c r="D20" s="187" t="str">
        <x:f>'Raw Data'!D20</x:f>
        <x:v>Chennai</x:v>
      </x:c>
      <x:c r="E20" s="187" t="str">
        <x:f>'Raw Data'!E20</x:f>
        <x:v>South Indian</x:v>
      </x:c>
      <x:c r="F20" s="187" t="str">
        <x:f>'Raw Data'!F20</x:f>
        <x:v>Budget</x:v>
      </x:c>
      <x:c r="G20" s="187" t="str">
        <x:f>'Raw Data'!G20</x:f>
        <x:v>Budget Customer 38</x:v>
      </x:c>
      <x:c r="H20" s="187" t="n">
        <x:f>'Raw Data'!H20</x:f>
        <x:v>99</x:v>
      </x:c>
      <x:c r="I20" s="190" t="n">
        <x:f>'Raw Data'!I20</x:f>
        <x:v>363</x:v>
      </x:c>
      <x:c r="J20" s="191" t="n">
        <x:f>'Raw Data'!J20</x:f>
        <x:v>0.11</x:v>
      </x:c>
      <x:c r="K20" s="190" t="n">
        <x:f>'Raw Data'!K20</x:f>
        <x:v>35937</x:v>
      </x:c>
      <x:c r="L20" s="190" t="n">
        <x:f>'Raw Data'!L20</x:f>
        <x:v>31983.93</x:v>
      </x:c>
      <x:c r="M20" s="190" t="n">
        <x:f>'Raw Data'!M20</x:f>
        <x:v>23668.1082</x:v>
      </x:c>
      <x:c r="N20" s="190" t="n">
        <x:f>'Raw Data'!N20</x:f>
        <x:v>8315.821800000002</x:v>
      </x:c>
      <x:c r="O20" s="190" t="n">
        <x:f>'Raw Data'!O20</x:f>
        <x:v>4157.9109</x:v>
      </x:c>
      <x:c r="P20" s="190" t="n">
        <x:f>'Raw Data'!P20</x:f>
        <x:v>4157.910900000002</x:v>
      </x:c>
      <x:c r="Q20" s="190" t="n">
        <x:f>'Raw Data'!Q20</x:f>
        <x:v>33281.52659444819</x:v>
      </x:c>
      <x:c r="R20" s="196" t="n">
        <x:f t="shared" si="0">IFERROR(N20/L20,0)</x:f>
        <x:v>0.26000000000000006</x:v>
      </x:c>
      <x:c r="S20" s="196" t="n">
        <x:f t="shared" si="1">IFERROR(P20/L20,0)</x:f>
        <x:v>0.13000000000000006</x:v>
      </x:c>
      <x:c r="T20" s="196" t="n">
        <x:f t="shared" si="2">IFERROR(L20/Q20,0)</x:f>
        <x:v>0.9610115061649653</x:v>
      </x:c>
    </x:row>
    <x:row r="21" ht="15">
      <x:c r="A21" s="187" t="str">
        <x:f>'Raw Data'!A21</x:f>
        <x:v>ZOM-0017</x:v>
      </x:c>
      <x:c r="B21" s="188" t="n">
        <x:f>'Raw Data'!B21</x:f>
        <x:v>45674</x:v>
      </x:c>
      <x:c r="C21" s="234" t="str">
        <x:f>'Raw Data'!C21</x:f>
        <x:v>West</x:v>
      </x:c>
      <x:c r="D21" s="187" t="str">
        <x:f>'Raw Data'!D21</x:f>
        <x:v>Nagpur</x:v>
      </x:c>
      <x:c r="E21" s="187" t="str">
        <x:f>'Raw Data'!E21</x:f>
        <x:v>Biryani</x:v>
      </x:c>
      <x:c r="F21" s="187" t="str">
        <x:f>'Raw Data'!F21</x:f>
        <x:v>New User</x:v>
      </x:c>
      <x:c r="G21" s="187" t="str">
        <x:f>'Raw Data'!G21</x:f>
        <x:v>New User Customer 16</x:v>
      </x:c>
      <x:c r="H21" s="187" t="n">
        <x:f>'Raw Data'!H21</x:f>
        <x:v>153</x:v>
      </x:c>
      <x:c r="I21" s="190" t="n">
        <x:f>'Raw Data'!I21</x:f>
        <x:v>389</x:v>
      </x:c>
      <x:c r="J21" s="191" t="n">
        <x:f>'Raw Data'!J21</x:f>
        <x:v>0.06</x:v>
      </x:c>
      <x:c r="K21" s="190" t="n">
        <x:f>'Raw Data'!K21</x:f>
        <x:v>59517</x:v>
      </x:c>
      <x:c r="L21" s="190" t="n">
        <x:f>'Raw Data'!L21</x:f>
        <x:v>55945.979999999996</x:v>
      </x:c>
      <x:c r="M21" s="190" t="n">
        <x:f>'Raw Data'!M21</x:f>
        <x:v>41400.0252</x:v>
      </x:c>
      <x:c r="N21" s="190" t="n">
        <x:f>'Raw Data'!N21</x:f>
        <x:v>14545.9548</x:v>
      </x:c>
      <x:c r="O21" s="190" t="n">
        <x:f>'Raw Data'!O21</x:f>
        <x:v>7272.9774</x:v>
      </x:c>
      <x:c r="P21" s="190" t="n">
        <x:f>'Raw Data'!P21</x:f>
        <x:v>7272.9774</x:v>
      </x:c>
      <x:c r="Q21" s="190" t="n">
        <x:f>'Raw Data'!Q21</x:f>
        <x:v>56421.68206556683</x:v>
      </x:c>
      <x:c r="R21" s="196" t="n">
        <x:f t="shared" si="0">IFERROR(N21/L21,0)</x:f>
        <x:v>0.26</x:v>
      </x:c>
      <x:c r="S21" s="196" t="n">
        <x:f t="shared" si="1">IFERROR(P21/L21,0)</x:f>
        <x:v>0.13</x:v>
      </x:c>
      <x:c r="T21" s="196" t="n">
        <x:f t="shared" si="2">IFERROR(L21/Q21,0)</x:f>
        <x:v>0.9915688074486325</x:v>
      </x:c>
    </x:row>
    <x:row r="22" ht="15">
      <x:c r="A22" s="187" t="str">
        <x:f>'Raw Data'!A22</x:f>
        <x:v>ZOM-0018</x:v>
      </x:c>
      <x:c r="B22" s="188" t="n">
        <x:f>'Raw Data'!B22</x:f>
        <x:v>45675</x:v>
      </x:c>
      <x:c r="C22" s="234" t="str">
        <x:f>'Raw Data'!C22</x:f>
        <x:v>South</x:v>
      </x:c>
      <x:c r="D22" s="187" t="str">
        <x:f>'Raw Data'!D22</x:f>
        <x:v>Kochi</x:v>
      </x:c>
      <x:c r="E22" s="187" t="str">
        <x:f>'Raw Data'!E22</x:f>
        <x:v>Biryani</x:v>
      </x:c>
      <x:c r="F22" s="187" t="str">
        <x:f>'Raw Data'!F22</x:f>
        <x:v>New User</x:v>
      </x:c>
      <x:c r="G22" s="187" t="str">
        <x:f>'Raw Data'!G22</x:f>
        <x:v>New User Customer 07</x:v>
      </x:c>
      <x:c r="H22" s="187" t="n">
        <x:f>'Raw Data'!H22</x:f>
        <x:v>140</x:v>
      </x:c>
      <x:c r="I22" s="190" t="n">
        <x:f>'Raw Data'!I22</x:f>
        <x:v>491</x:v>
      </x:c>
      <x:c r="J22" s="191" t="n">
        <x:f>'Raw Data'!J22</x:f>
        <x:v>0.08</x:v>
      </x:c>
      <x:c r="K22" s="190" t="n">
        <x:f>'Raw Data'!K22</x:f>
        <x:v>68740</x:v>
      </x:c>
      <x:c r="L22" s="190" t="n">
        <x:f>'Raw Data'!L22</x:f>
        <x:v>63240.8</x:v>
      </x:c>
      <x:c r="M22" s="190" t="n">
        <x:f>'Raw Data'!M22</x:f>
        <x:v>46798.192</x:v>
      </x:c>
      <x:c r="N22" s="190" t="n">
        <x:f>'Raw Data'!N22</x:f>
        <x:v>16442.608</x:v>
      </x:c>
      <x:c r="O22" s="190" t="n">
        <x:f>'Raw Data'!O22</x:f>
        <x:v>8221.304</x:v>
      </x:c>
      <x:c r="P22" s="190" t="n">
        <x:f>'Raw Data'!P22</x:f>
        <x:v>8221.304</x:v>
      </x:c>
      <x:c r="Q22" s="190" t="n">
        <x:f>'Raw Data'!Q22</x:f>
        <x:v>64685.8010374612</x:v>
      </x:c>
      <x:c r="R22" s="196" t="n">
        <x:f t="shared" si="0">IFERROR(N22/L22,0)</x:f>
        <x:v>0.26</x:v>
      </x:c>
      <x:c r="S22" s="196" t="n">
        <x:f t="shared" si="1">IFERROR(P22/L22,0)</x:f>
        <x:v>0.13</x:v>
      </x:c>
      <x:c r="T22" s="196" t="n">
        <x:f t="shared" si="2">IFERROR(L22/Q22,0)</x:f>
        <x:v>0.9776612330019017</x:v>
      </x:c>
    </x:row>
    <x:row r="23" ht="15">
      <x:c r="A23" s="187" t="str">
        <x:f>'Raw Data'!A23</x:f>
        <x:v>ZOM-0019</x:v>
      </x:c>
      <x:c r="B23" s="188" t="n">
        <x:f>'Raw Data'!B23</x:f>
        <x:v>45676</x:v>
      </x:c>
      <x:c r="C23" s="234" t="str">
        <x:f>'Raw Data'!C23</x:f>
        <x:v>East</x:v>
      </x:c>
      <x:c r="D23" s="187" t="str">
        <x:f>'Raw Data'!D23</x:f>
        <x:v>Patna</x:v>
      </x:c>
      <x:c r="E23" s="187" t="str">
        <x:f>'Raw Data'!E23</x:f>
        <x:v>South Indian</x:v>
      </x:c>
      <x:c r="F23" s="187" t="str">
        <x:f>'Raw Data'!F23</x:f>
        <x:v>Gold User</x:v>
      </x:c>
      <x:c r="G23" s="187" t="str">
        <x:f>'Raw Data'!G23</x:f>
        <x:v>Gold User Customer 07</x:v>
      </x:c>
      <x:c r="H23" s="187" t="n">
        <x:f>'Raw Data'!H23</x:f>
        <x:v>75</x:v>
      </x:c>
      <x:c r="I23" s="190" t="n">
        <x:f>'Raw Data'!I23</x:f>
        <x:v>399</x:v>
      </x:c>
      <x:c r="J23" s="191" t="n">
        <x:f>'Raw Data'!J23</x:f>
        <x:v>0.009999999999999998</x:v>
      </x:c>
      <x:c r="K23" s="190" t="n">
        <x:f>'Raw Data'!K23</x:f>
        <x:v>29925</x:v>
      </x:c>
      <x:c r="L23" s="190" t="n">
        <x:f>'Raw Data'!L23</x:f>
        <x:v>29625.75</x:v>
      </x:c>
      <x:c r="M23" s="190" t="n">
        <x:f>'Raw Data'!M23</x:f>
        <x:v>21923.055</x:v>
      </x:c>
      <x:c r="N23" s="190" t="n">
        <x:f>'Raw Data'!N23</x:f>
        <x:v>7702.695</x:v>
      </x:c>
      <x:c r="O23" s="190" t="n">
        <x:f>'Raw Data'!O23</x:f>
        <x:v>3851.3475000000003</x:v>
      </x:c>
      <x:c r="P23" s="190" t="n">
        <x:f>'Raw Data'!P23</x:f>
        <x:v>3851.3474999999994</x:v>
      </x:c>
      <x:c r="Q23" s="190" t="n">
        <x:f>'Raw Data'!Q23</x:f>
        <x:v>32471.92842943932</x:v>
      </x:c>
      <x:c r="R23" s="196" t="n">
        <x:f t="shared" si="0">IFERROR(N23/L23,0)</x:f>
        <x:v>0.26</x:v>
      </x:c>
      <x:c r="S23" s="196" t="n">
        <x:f t="shared" si="1">IFERROR(P23/L23,0)</x:f>
        <x:v>0.12999999999999998</x:v>
      </x:c>
      <x:c r="T23" s="196" t="n">
        <x:f t="shared" si="2">IFERROR(L23/Q23,0)</x:f>
        <x:v>0.9123495718579205</x:v>
      </x:c>
    </x:row>
    <x:row r="24" ht="15">
      <x:c r="A24" s="187" t="str">
        <x:f>'Raw Data'!A24</x:f>
        <x:v>ZOM-0020</x:v>
      </x:c>
      <x:c r="B24" s="188" t="n">
        <x:f>'Raw Data'!B24</x:f>
        <x:v>45677</x:v>
      </x:c>
      <x:c r="C24" s="234" t="str">
        <x:f>'Raw Data'!C24</x:f>
        <x:v>South</x:v>
      </x:c>
      <x:c r="D24" s="187" t="str">
        <x:f>'Raw Data'!D24</x:f>
        <x:v>Hyderabad</x:v>
      </x:c>
      <x:c r="E24" s="187" t="str">
        <x:f>'Raw Data'!E24</x:f>
        <x:v>Chinese</x:v>
      </x:c>
      <x:c r="F24" s="187" t="str">
        <x:f>'Raw Data'!F24</x:f>
        <x:v>New User</x:v>
      </x:c>
      <x:c r="G24" s="187" t="str">
        <x:f>'Raw Data'!G24</x:f>
        <x:v>New User Customer 55</x:v>
      </x:c>
      <x:c r="H24" s="187" t="n">
        <x:f>'Raw Data'!H24</x:f>
        <x:v>91</x:v>
      </x:c>
      <x:c r="I24" s="190" t="n">
        <x:f>'Raw Data'!I24</x:f>
        <x:v>414</x:v>
      </x:c>
      <x:c r="J24" s="191" t="n">
        <x:f>'Raw Data'!J24</x:f>
        <x:v>0.08</x:v>
      </x:c>
      <x:c r="K24" s="190" t="n">
        <x:f>'Raw Data'!K24</x:f>
        <x:v>37674</x:v>
      </x:c>
      <x:c r="L24" s="190" t="n">
        <x:f>'Raw Data'!L24</x:f>
        <x:v>34660.08</x:v>
      </x:c>
      <x:c r="M24" s="190" t="n">
        <x:f>'Raw Data'!M24</x:f>
        <x:v>25648.4592</x:v>
      </x:c>
      <x:c r="N24" s="190" t="n">
        <x:f>'Raw Data'!N24</x:f>
        <x:v>9011.6208</x:v>
      </x:c>
      <x:c r="O24" s="190" t="n">
        <x:f>'Raw Data'!O24</x:f>
        <x:v>4505.8104</x:v>
      </x:c>
      <x:c r="P24" s="190" t="n">
        <x:f>'Raw Data'!P24</x:f>
        <x:v>4505.8104</x:v>
      </x:c>
      <x:c r="Q24" s="190" t="n">
        <x:f>'Raw Data'!Q24</x:f>
        <x:v>38020.81387730165</x:v>
      </x:c>
      <x:c r="R24" s="196" t="n">
        <x:f t="shared" si="0">IFERROR(N24/L24,0)</x:f>
        <x:v>0.26</x:v>
      </x:c>
      <x:c r="S24" s="196" t="n">
        <x:f t="shared" si="1">IFERROR(P24/L24,0)</x:f>
        <x:v>0.13</x:v>
      </x:c>
      <x:c r="T24" s="196" t="n">
        <x:f t="shared" si="2">IFERROR(L24/Q24,0)</x:f>
        <x:v>0.9116080500499755</x:v>
      </x:c>
    </x:row>
    <x:row r="25" ht="15">
      <x:c r="A25" s="187" t="str">
        <x:f>'Raw Data'!A25</x:f>
        <x:v>ZOM-0021</x:v>
      </x:c>
      <x:c r="B25" s="188" t="n">
        <x:f>'Raw Data'!B25</x:f>
        <x:v>45678</x:v>
      </x:c>
      <x:c r="C25" s="234" t="str">
        <x:f>'Raw Data'!C25</x:f>
        <x:v>West</x:v>
      </x:c>
      <x:c r="D25" s="187" t="str">
        <x:f>'Raw Data'!D25</x:f>
        <x:v>Mumbai</x:v>
      </x:c>
      <x:c r="E25" s="187" t="str">
        <x:f>'Raw Data'!E25</x:f>
        <x:v>Burgers</x:v>
      </x:c>
      <x:c r="F25" s="187" t="str">
        <x:f>'Raw Data'!F25</x:f>
        <x:v>Gold User</x:v>
      </x:c>
      <x:c r="G25" s="187" t="str">
        <x:f>'Raw Data'!G25</x:f>
        <x:v>Gold User Customer 26</x:v>
      </x:c>
      <x:c r="H25" s="187" t="n">
        <x:f>'Raw Data'!H25</x:f>
        <x:v>85</x:v>
      </x:c>
      <x:c r="I25" s="190" t="n">
        <x:f>'Raw Data'!I25</x:f>
        <x:v>507</x:v>
      </x:c>
      <x:c r="J25" s="191" t="n">
        <x:f>'Raw Data'!J25</x:f>
        <x:v>0.03</x:v>
      </x:c>
      <x:c r="K25" s="190" t="n">
        <x:f>'Raw Data'!K25</x:f>
        <x:v>43095</x:v>
      </x:c>
      <x:c r="L25" s="190" t="n">
        <x:f>'Raw Data'!L25</x:f>
        <x:v>41802.15</x:v>
      </x:c>
      <x:c r="M25" s="190" t="n">
        <x:f>'Raw Data'!M25</x:f>
        <x:v>30933.591</x:v>
      </x:c>
      <x:c r="N25" s="190" t="n">
        <x:f>'Raw Data'!N25</x:f>
        <x:v>10868.559000000001</x:v>
      </x:c>
      <x:c r="O25" s="190" t="n">
        <x:f>'Raw Data'!O25</x:f>
        <x:v>5434.279500000001</x:v>
      </x:c>
      <x:c r="P25" s="190" t="n">
        <x:f>'Raw Data'!P25</x:f>
        <x:v>5434.279500000001</x:v>
      </x:c>
      <x:c r="Q25" s="190" t="n">
        <x:f>'Raw Data'!Q25</x:f>
        <x:v>42874.361599586286</x:v>
      </x:c>
      <x:c r="R25" s="196" t="n">
        <x:f t="shared" si="0">IFERROR(N25/L25,0)</x:f>
        <x:v>0.26</x:v>
      </x:c>
      <x:c r="S25" s="196" t="n">
        <x:f t="shared" si="1">IFERROR(P25/L25,0)</x:f>
        <x:v>0.13</x:v>
      </x:c>
      <x:c r="T25" s="196" t="n">
        <x:f t="shared" si="2">IFERROR(L25/Q25,0)</x:f>
        <x:v>0.974991776913207</x:v>
      </x:c>
    </x:row>
    <x:row r="26" ht="15">
      <x:c r="A26" s="187" t="str">
        <x:f>'Raw Data'!A26</x:f>
        <x:v>ZOM-0022</x:v>
      </x:c>
      <x:c r="B26" s="188" t="n">
        <x:f>'Raw Data'!B26</x:f>
        <x:v>45679</x:v>
      </x:c>
      <x:c r="C26" s="234" t="str">
        <x:f>'Raw Data'!C26</x:f>
        <x:v>Metro</x:v>
      </x:c>
      <x:c r="D26" s="187" t="str">
        <x:f>'Raw Data'!D26</x:f>
        <x:v>Mumbai</x:v>
      </x:c>
      <x:c r="E26" s="187" t="str">
        <x:f>'Raw Data'!E26</x:f>
        <x:v>Pizza</x:v>
      </x:c>
      <x:c r="F26" s="187" t="str">
        <x:f>'Raw Data'!F26</x:f>
        <x:v>Student</x:v>
      </x:c>
      <x:c r="G26" s="187" t="str">
        <x:f>'Raw Data'!G26</x:f>
        <x:v>Student Customer 51</x:v>
      </x:c>
      <x:c r="H26" s="187" t="n">
        <x:f>'Raw Data'!H26</x:f>
        <x:v>89</x:v>
      </x:c>
      <x:c r="I26" s="190" t="n">
        <x:f>'Raw Data'!I26</x:f>
        <x:v>755</x:v>
      </x:c>
      <x:c r="J26" s="191" t="n">
        <x:f>'Raw Data'!J26</x:f>
        <x:v>0.13</x:v>
      </x:c>
      <x:c r="K26" s="190" t="n">
        <x:f>'Raw Data'!K26</x:f>
        <x:v>67195</x:v>
      </x:c>
      <x:c r="L26" s="190" t="n">
        <x:f>'Raw Data'!L26</x:f>
        <x:v>58459.65</x:v>
      </x:c>
      <x:c r="M26" s="190" t="n">
        <x:f>'Raw Data'!M26</x:f>
        <x:v>43260.141</x:v>
      </x:c>
      <x:c r="N26" s="190" t="n">
        <x:f>'Raw Data'!N26</x:f>
        <x:v>15199.508999999998</x:v>
      </x:c>
      <x:c r="O26" s="190" t="n">
        <x:f>'Raw Data'!O26</x:f>
        <x:v>7599.7545</x:v>
      </x:c>
      <x:c r="P26" s="190" t="n">
        <x:f>'Raw Data'!P26</x:f>
        <x:v>7599.754499999998</x:v>
      </x:c>
      <x:c r="Q26" s="190" t="n">
        <x:f>'Raw Data'!Q26</x:f>
        <x:v>63584.26022150965</x:v>
      </x:c>
      <x:c r="R26" s="196" t="n">
        <x:f t="shared" si="0">IFERROR(N26/L26,0)</x:f>
        <x:v>0.25999999999999995</x:v>
      </x:c>
      <x:c r="S26" s="196" t="n">
        <x:f t="shared" si="1">IFERROR(P26/L26,0)</x:f>
        <x:v>0.12999999999999998</x:v>
      </x:c>
      <x:c r="T26" s="196" t="n">
        <x:f t="shared" si="2">IFERROR(L26/Q26,0)</x:f>
        <x:v>0.919404421728633</x:v>
      </x:c>
    </x:row>
    <x:row r="27" ht="15">
      <x:c r="A27" s="187" t="str">
        <x:f>'Raw Data'!A27</x:f>
        <x:v>ZOM-0023</x:v>
      </x:c>
      <x:c r="B27" s="188" t="n">
        <x:f>'Raw Data'!B27</x:f>
        <x:v>45680</x:v>
      </x:c>
      <x:c r="C27" s="234" t="str">
        <x:f>'Raw Data'!C27</x:f>
        <x:v>West</x:v>
      </x:c>
      <x:c r="D27" s="187" t="str">
        <x:f>'Raw Data'!D27</x:f>
        <x:v>Surat</x:v>
      </x:c>
      <x:c r="E27" s="187" t="str">
        <x:f>'Raw Data'!E27</x:f>
        <x:v>Biryani</x:v>
      </x:c>
      <x:c r="F27" s="187" t="str">
        <x:f>'Raw Data'!F27</x:f>
        <x:v>Repeat User</x:v>
      </x:c>
      <x:c r="G27" s="187" t="str">
        <x:f>'Raw Data'!G27</x:f>
        <x:v>Repeat User Customer 33</x:v>
      </x:c>
      <x:c r="H27" s="187" t="n">
        <x:f>'Raw Data'!H27</x:f>
        <x:v>83</x:v>
      </x:c>
      <x:c r="I27" s="190" t="n">
        <x:f>'Raw Data'!I27</x:f>
        <x:v>492</x:v>
      </x:c>
      <x:c r="J27" s="191" t="n">
        <x:f>'Raw Data'!J27</x:f>
        <x:v>0.030000000000000002</x:v>
      </x:c>
      <x:c r="K27" s="190" t="n">
        <x:f>'Raw Data'!K27</x:f>
        <x:v>40836</x:v>
      </x:c>
      <x:c r="L27" s="190" t="n">
        <x:f>'Raw Data'!L27</x:f>
        <x:v>39610.92</x:v>
      </x:c>
      <x:c r="M27" s="190" t="n">
        <x:f>'Raw Data'!M27</x:f>
        <x:v>29312.0808</x:v>
      </x:c>
      <x:c r="N27" s="190" t="n">
        <x:f>'Raw Data'!N27</x:f>
        <x:v>10298.839199999999</x:v>
      </x:c>
      <x:c r="O27" s="190" t="n">
        <x:f>'Raw Data'!O27</x:f>
        <x:v>5149.4196</x:v>
      </x:c>
      <x:c r="P27" s="190" t="n">
        <x:f>'Raw Data'!P27</x:f>
        <x:v>5149.419599999998</x:v>
      </x:c>
      <x:c r="Q27" s="190" t="n">
        <x:f>'Raw Data'!Q27</x:f>
        <x:v>42387.69743518881</x:v>
      </x:c>
      <x:c r="R27" s="196" t="n">
        <x:f t="shared" si="0">IFERROR(N27/L27,0)</x:f>
        <x:v>0.25999999999999995</x:v>
      </x:c>
      <x:c r="S27" s="196" t="n">
        <x:f t="shared" si="1">IFERROR(P27/L27,0)</x:f>
        <x:v>0.12999999999999998</x:v>
      </x:c>
      <x:c r="T27" s="196" t="n">
        <x:f t="shared" si="2">IFERROR(L27/Q27,0)</x:f>
        <x:v>0.9344909583863447</x:v>
      </x:c>
    </x:row>
    <x:row r="28" ht="15">
      <x:c r="A28" s="187" t="str">
        <x:f>'Raw Data'!A28</x:f>
        <x:v>ZOM-0024</x:v>
      </x:c>
      <x:c r="B28" s="188" t="n">
        <x:f>'Raw Data'!B28</x:f>
        <x:v>45681</x:v>
      </x:c>
      <x:c r="C28" s="234" t="str">
        <x:f>'Raw Data'!C28</x:f>
        <x:v>Metro</x:v>
      </x:c>
      <x:c r="D28" s="187" t="str">
        <x:f>'Raw Data'!D28</x:f>
        <x:v>Pune</x:v>
      </x:c>
      <x:c r="E28" s="187" t="str">
        <x:f>'Raw Data'!E28</x:f>
        <x:v>Biryani</x:v>
      </x:c>
      <x:c r="F28" s="187" t="str">
        <x:f>'Raw Data'!F28</x:f>
        <x:v>Student</x:v>
      </x:c>
      <x:c r="G28" s="187" t="str">
        <x:f>'Raw Data'!G28</x:f>
        <x:v>Student Customer 08</x:v>
      </x:c>
      <x:c r="H28" s="187" t="n">
        <x:f>'Raw Data'!H28</x:f>
        <x:v>69</x:v>
      </x:c>
      <x:c r="I28" s="190" t="n">
        <x:f>'Raw Data'!I28</x:f>
        <x:v>546</x:v>
      </x:c>
      <x:c r="J28" s="191" t="n">
        <x:f>'Raw Data'!J28</x:f>
        <x:v>0.09999999999999999</x:v>
      </x:c>
      <x:c r="K28" s="190" t="n">
        <x:f>'Raw Data'!K28</x:f>
        <x:v>37674</x:v>
      </x:c>
      <x:c r="L28" s="190" t="n">
        <x:f>'Raw Data'!L28</x:f>
        <x:v>33906.6</x:v>
      </x:c>
      <x:c r="M28" s="190" t="n">
        <x:f>'Raw Data'!M28</x:f>
        <x:v>25090.884</x:v>
      </x:c>
      <x:c r="N28" s="190" t="n">
        <x:f>'Raw Data'!N28</x:f>
        <x:v>8815.716</x:v>
      </x:c>
      <x:c r="O28" s="190" t="n">
        <x:f>'Raw Data'!O28</x:f>
        <x:v>4407.858</x:v>
      </x:c>
      <x:c r="P28" s="190" t="n">
        <x:f>'Raw Data'!P28</x:f>
        <x:v>4407.858</x:v>
      </x:c>
      <x:c r="Q28" s="190" t="n">
        <x:f>'Raw Data'!Q28</x:f>
        <x:v>34863.59572634863</x:v>
      </x:c>
      <x:c r="R28" s="196" t="n">
        <x:f t="shared" si="0">IFERROR(N28/L28,0)</x:f>
        <x:v>0.26</x:v>
      </x:c>
      <x:c r="S28" s="196" t="n">
        <x:f t="shared" si="1">IFERROR(P28/L28,0)</x:f>
        <x:v>0.13</x:v>
      </x:c>
      <x:c r="T28" s="196" t="n">
        <x:f t="shared" si="2">IFERROR(L28/Q28,0)</x:f>
        <x:v>0.9725502861534915</x:v>
      </x:c>
    </x:row>
    <x:row r="29" ht="15">
      <x:c r="A29" s="187" t="str">
        <x:f>'Raw Data'!A29</x:f>
        <x:v>ZOM-0025</x:v>
      </x:c>
      <x:c r="B29" s="188" t="n">
        <x:f>'Raw Data'!B29</x:f>
        <x:v>45682</x:v>
      </x:c>
      <x:c r="C29" s="234" t="str">
        <x:f>'Raw Data'!C29</x:f>
        <x:v>Metro</x:v>
      </x:c>
      <x:c r="D29" s="187" t="str">
        <x:f>'Raw Data'!D29</x:f>
        <x:v>Pune</x:v>
      </x:c>
      <x:c r="E29" s="187" t="str">
        <x:f>'Raw Data'!E29</x:f>
        <x:v>Biryani</x:v>
      </x:c>
      <x:c r="F29" s="187" t="str">
        <x:f>'Raw Data'!F29</x:f>
        <x:v>Corporate</x:v>
      </x:c>
      <x:c r="G29" s="187" t="str">
        <x:f>'Raw Data'!G29</x:f>
        <x:v>Corporate Customer 16</x:v>
      </x:c>
      <x:c r="H29" s="187" t="n">
        <x:f>'Raw Data'!H29</x:f>
        <x:v>192</x:v>
      </x:c>
      <x:c r="I29" s="190" t="n">
        <x:f>'Raw Data'!I29</x:f>
        <x:v>393</x:v>
      </x:c>
      <x:c r="J29" s="191" t="n">
        <x:f>'Raw Data'!J29</x:f>
        <x:v>0.02</x:v>
      </x:c>
      <x:c r="K29" s="190" t="n">
        <x:f>'Raw Data'!K29</x:f>
        <x:v>75456</x:v>
      </x:c>
      <x:c r="L29" s="190" t="n">
        <x:f>'Raw Data'!L29</x:f>
        <x:v>73946.88</x:v>
      </x:c>
      <x:c r="M29" s="190" t="n">
        <x:f>'Raw Data'!M29</x:f>
        <x:v>54720.6912</x:v>
      </x:c>
      <x:c r="N29" s="190" t="n">
        <x:f>'Raw Data'!N29</x:f>
        <x:v>19226.188800000004</x:v>
      </x:c>
      <x:c r="O29" s="190" t="n">
        <x:f>'Raw Data'!O29</x:f>
        <x:v>9613.094400000002</x:v>
      </x:c>
      <x:c r="P29" s="190" t="n">
        <x:f>'Raw Data'!P29</x:f>
        <x:v>9613.094400000002</x:v>
      </x:c>
      <x:c r="Q29" s="190" t="n">
        <x:f>'Raw Data'!Q29</x:f>
        <x:v>80302.09789799506</x:v>
      </x:c>
      <x:c r="R29" s="196" t="n">
        <x:f t="shared" si="0">IFERROR(N29/L29,0)</x:f>
        <x:v>0.26</x:v>
      </x:c>
      <x:c r="S29" s="196" t="n">
        <x:f t="shared" si="1">IFERROR(P29/L29,0)</x:f>
        <x:v>0.13</x:v>
      </x:c>
      <x:c r="T29" s="196" t="n">
        <x:f t="shared" si="2">IFERROR(L29/Q29,0)</x:f>
        <x:v>0.9208586317873305</x:v>
      </x:c>
    </x:row>
    <x:row r="30" ht="15">
      <x:c r="A30" s="187" t="str">
        <x:f>'Raw Data'!A30</x:f>
        <x:v>ZOM-0026</x:v>
      </x:c>
      <x:c r="B30" s="188" t="n">
        <x:f>'Raw Data'!B30</x:f>
        <x:v>45683</x:v>
      </x:c>
      <x:c r="C30" s="234" t="str">
        <x:f>'Raw Data'!C30</x:f>
        <x:v>South</x:v>
      </x:c>
      <x:c r="D30" s="187" t="str">
        <x:f>'Raw Data'!D30</x:f>
        <x:v>Hyderabad</x:v>
      </x:c>
      <x:c r="E30" s="187" t="str">
        <x:f>'Raw Data'!E30</x:f>
        <x:v>Burgers</x:v>
      </x:c>
      <x:c r="F30" s="187" t="str">
        <x:f>'Raw Data'!F30</x:f>
        <x:v>Repeat User</x:v>
      </x:c>
      <x:c r="G30" s="187" t="str">
        <x:f>'Raw Data'!G30</x:f>
        <x:v>Repeat User Customer 07</x:v>
      </x:c>
      <x:c r="H30" s="187" t="n">
        <x:f>'Raw Data'!H30</x:f>
        <x:v>114</x:v>
      </x:c>
      <x:c r="I30" s="190" t="n">
        <x:f>'Raw Data'!I30</x:f>
        <x:v>500</x:v>
      </x:c>
      <x:c r="J30" s="191" t="n">
        <x:f>'Raw Data'!J30</x:f>
        <x:v>0.030000000000000002</x:v>
      </x:c>
      <x:c r="K30" s="190" t="n">
        <x:f>'Raw Data'!K30</x:f>
        <x:v>57000</x:v>
      </x:c>
      <x:c r="L30" s="190" t="n">
        <x:f>'Raw Data'!L30</x:f>
        <x:v>55290</x:v>
      </x:c>
      <x:c r="M30" s="190" t="n">
        <x:f>'Raw Data'!M30</x:f>
        <x:v>40914.6</x:v>
      </x:c>
      <x:c r="N30" s="190" t="n">
        <x:f>'Raw Data'!N30</x:f>
        <x:v>14375.400000000001</x:v>
      </x:c>
      <x:c r="O30" s="190" t="n">
        <x:f>'Raw Data'!O30</x:f>
        <x:v>7187.7</x:v>
      </x:c>
      <x:c r="P30" s="190" t="n">
        <x:f>'Raw Data'!P30</x:f>
        <x:v>7187.700000000002</x:v>
      </x:c>
      <x:c r="Q30" s="190" t="n">
        <x:f>'Raw Data'!Q30</x:f>
        <x:v>59025.35024008528</x:v>
      </x:c>
      <x:c r="R30" s="196" t="n">
        <x:f t="shared" si="0">IFERROR(N30/L30,0)</x:f>
        <x:v>0.26</x:v>
      </x:c>
      <x:c r="S30" s="196" t="n">
        <x:f t="shared" si="1">IFERROR(P30/L30,0)</x:f>
        <x:v>0.13000000000000003</x:v>
      </x:c>
      <x:c r="T30" s="196" t="n">
        <x:f t="shared" si="2">IFERROR(L30/Q30,0)</x:f>
        <x:v>0.9367161698339482</x:v>
      </x:c>
    </x:row>
    <x:row r="31" ht="15">
      <x:c r="A31" s="187" t="str">
        <x:f>'Raw Data'!A31</x:f>
        <x:v>ZOM-0027</x:v>
      </x:c>
      <x:c r="B31" s="188" t="n">
        <x:f>'Raw Data'!B31</x:f>
        <x:v>45684</x:v>
      </x:c>
      <x:c r="C31" s="234" t="str">
        <x:f>'Raw Data'!C31</x:f>
        <x:v>North</x:v>
      </x:c>
      <x:c r="D31" s="187" t="str">
        <x:f>'Raw Data'!D31</x:f>
        <x:v>Noida</x:v>
      </x:c>
      <x:c r="E31" s="187" t="str">
        <x:f>'Raw Data'!E31</x:f>
        <x:v>Chinese</x:v>
      </x:c>
      <x:c r="F31" s="187" t="str">
        <x:f>'Raw Data'!F31</x:f>
        <x:v>New User</x:v>
      </x:c>
      <x:c r="G31" s="187" t="str">
        <x:f>'Raw Data'!G31</x:f>
        <x:v>New User Customer 46</x:v>
      </x:c>
      <x:c r="H31" s="187" t="n">
        <x:f>'Raw Data'!H31</x:f>
        <x:v>106</x:v>
      </x:c>
      <x:c r="I31" s="190" t="n">
        <x:f>'Raw Data'!I31</x:f>
        <x:v>527</x:v>
      </x:c>
      <x:c r="J31" s="191" t="n">
        <x:f>'Raw Data'!J31</x:f>
        <x:v>0.08</x:v>
      </x:c>
      <x:c r="K31" s="190" t="n">
        <x:f>'Raw Data'!K31</x:f>
        <x:v>55862</x:v>
      </x:c>
      <x:c r="L31" s="190" t="n">
        <x:f>'Raw Data'!L31</x:f>
        <x:v>51393.04</x:v>
      </x:c>
      <x:c r="M31" s="190" t="n">
        <x:f>'Raw Data'!M31</x:f>
        <x:v>38030.8496</x:v>
      </x:c>
      <x:c r="N31" s="190" t="n">
        <x:f>'Raw Data'!N31</x:f>
        <x:v>13362.1904</x:v>
      </x:c>
      <x:c r="O31" s="190" t="n">
        <x:f>'Raw Data'!O31</x:f>
        <x:v>6681.095200000001</x:v>
      </x:c>
      <x:c r="P31" s="190" t="n">
        <x:f>'Raw Data'!P31</x:f>
        <x:v>6681.095199999999</x:v>
      </x:c>
      <x:c r="Q31" s="190" t="n">
        <x:f>'Raw Data'!Q31</x:f>
        <x:v>56534.88253643222</x:v>
      </x:c>
      <x:c r="R31" s="196" t="n">
        <x:f t="shared" si="0">IFERROR(N31/L31,0)</x:f>
        <x:v>0.26</x:v>
      </x:c>
      <x:c r="S31" s="196" t="n">
        <x:f t="shared" si="1">IFERROR(P31/L31,0)</x:f>
        <x:v>0.12999999999999998</x:v>
      </x:c>
      <x:c r="T31" s="196" t="n">
        <x:f t="shared" si="2">IFERROR(L31/Q31,0)</x:f>
        <x:v>0.9090500889761518</x:v>
      </x:c>
    </x:row>
    <x:row r="32" ht="15">
      <x:c r="A32" s="187" t="str">
        <x:f>'Raw Data'!A32</x:f>
        <x:v>ZOM-0028</x:v>
      </x:c>
      <x:c r="B32" s="188" t="n">
        <x:f>'Raw Data'!B32</x:f>
        <x:v>45685</x:v>
      </x:c>
      <x:c r="C32" s="234" t="str">
        <x:f>'Raw Data'!C32</x:f>
        <x:v>South</x:v>
      </x:c>
      <x:c r="D32" s="187" t="str">
        <x:f>'Raw Data'!D32</x:f>
        <x:v>Coimbatore</x:v>
      </x:c>
      <x:c r="E32" s="187" t="str">
        <x:f>'Raw Data'!E32</x:f>
        <x:v>North Indian</x:v>
      </x:c>
      <x:c r="F32" s="187" t="str">
        <x:f>'Raw Data'!F32</x:f>
        <x:v>Budget</x:v>
      </x:c>
      <x:c r="G32" s="187" t="str">
        <x:f>'Raw Data'!G32</x:f>
        <x:v>Budget Customer 07</x:v>
      </x:c>
      <x:c r="H32" s="187" t="n">
        <x:f>'Raw Data'!H32</x:f>
        <x:v>91</x:v>
      </x:c>
      <x:c r="I32" s="190" t="n">
        <x:f>'Raw Data'!I32</x:f>
        <x:v>635</x:v>
      </x:c>
      <x:c r="J32" s="191" t="n">
        <x:f>'Raw Data'!J32</x:f>
        <x:v>0.08</x:v>
      </x:c>
      <x:c r="K32" s="190" t="n">
        <x:f>'Raw Data'!K32</x:f>
        <x:v>57785</x:v>
      </x:c>
      <x:c r="L32" s="190" t="n">
        <x:f>'Raw Data'!L32</x:f>
        <x:v>53162.200000000004</x:v>
      </x:c>
      <x:c r="M32" s="190" t="n">
        <x:f>'Raw Data'!M32</x:f>
        <x:v>38808.406</x:v>
      </x:c>
      <x:c r="N32" s="190" t="n">
        <x:f>'Raw Data'!N32</x:f>
        <x:v>14353.794000000002</x:v>
      </x:c>
      <x:c r="O32" s="190" t="n">
        <x:f>'Raw Data'!O32</x:f>
        <x:v>6911.086000000001</x:v>
      </x:c>
      <x:c r="P32" s="190" t="n">
        <x:f>'Raw Data'!P32</x:f>
        <x:v>7442.7080000000005</x:v>
      </x:c>
      <x:c r="Q32" s="190" t="n">
        <x:f>'Raw Data'!Q32</x:f>
        <x:v>53898.573047506536</x:v>
      </x:c>
      <x:c r="R32" s="196" t="n">
        <x:f t="shared" si="0">IFERROR(N32/L32,0)</x:f>
        <x:v>0.27</x:v>
      </x:c>
      <x:c r="S32" s="196" t="n">
        <x:f t="shared" si="1">IFERROR(P32/L32,0)</x:f>
        <x:v>0.13999999999999999</x:v>
      </x:c>
      <x:c r="T32" s="196" t="n">
        <x:f t="shared" si="2">IFERROR(L32/Q32,0)</x:f>
        <x:v>0.986337800689872</x:v>
      </x:c>
    </x:row>
    <x:row r="33" ht="15">
      <x:c r="A33" s="187" t="str">
        <x:f>'Raw Data'!A33</x:f>
        <x:v>ZOM-0029</x:v>
      </x:c>
      <x:c r="B33" s="188" t="n">
        <x:f>'Raw Data'!B33</x:f>
        <x:v>45686</x:v>
      </x:c>
      <x:c r="C33" s="234" t="str">
        <x:f>'Raw Data'!C33</x:f>
        <x:v>Central</x:v>
      </x:c>
      <x:c r="D33" s="187" t="str">
        <x:f>'Raw Data'!D33</x:f>
        <x:v>Indore</x:v>
      </x:c>
      <x:c r="E33" s="187" t="str">
        <x:f>'Raw Data'!E33</x:f>
        <x:v>Biryani</x:v>
      </x:c>
      <x:c r="F33" s="187" t="str">
        <x:f>'Raw Data'!F33</x:f>
        <x:v>Corporate</x:v>
      </x:c>
      <x:c r="G33" s="187" t="str">
        <x:f>'Raw Data'!G33</x:f>
        <x:v>Corporate Customer 04</x:v>
      </x:c>
      <x:c r="H33" s="187" t="n">
        <x:f>'Raw Data'!H33</x:f>
        <x:v>110</x:v>
      </x:c>
      <x:c r="I33" s="190" t="n">
        <x:f>'Raw Data'!I33</x:f>
        <x:v>417</x:v>
      </x:c>
      <x:c r="J33" s="191" t="n">
        <x:f>'Raw Data'!J33</x:f>
        <x:v>0.02</x:v>
      </x:c>
      <x:c r="K33" s="190" t="n">
        <x:f>'Raw Data'!K33</x:f>
        <x:v>45870</x:v>
      </x:c>
      <x:c r="L33" s="190" t="n">
        <x:f>'Raw Data'!L33</x:f>
        <x:v>44952.6</x:v>
      </x:c>
      <x:c r="M33" s="190" t="n">
        <x:f>'Raw Data'!M33</x:f>
        <x:v>33264.924</x:v>
      </x:c>
      <x:c r="N33" s="190" t="n">
        <x:f>'Raw Data'!N33</x:f>
        <x:v>11687.676</x:v>
      </x:c>
      <x:c r="O33" s="190" t="n">
        <x:f>'Raw Data'!O33</x:f>
        <x:v>5843.838</x:v>
      </x:c>
      <x:c r="P33" s="190" t="n">
        <x:f>'Raw Data'!P33</x:f>
        <x:v>5843.838</x:v>
      </x:c>
      <x:c r="Q33" s="190" t="n">
        <x:f>'Raw Data'!Q33</x:f>
        <x:v>49851.493240925396</x:v>
      </x:c>
      <x:c r="R33" s="196" t="n">
        <x:f t="shared" si="0">IFERROR(N33/L33,0)</x:f>
        <x:v>0.26</x:v>
      </x:c>
      <x:c r="S33" s="196" t="n">
        <x:f t="shared" si="1">IFERROR(P33/L33,0)</x:f>
        <x:v>0.13</x:v>
      </x:c>
      <x:c r="T33" s="196" t="n">
        <x:f t="shared" si="2">IFERROR(L33/Q33,0)</x:f>
        <x:v>0.9017302607717341</x:v>
      </x:c>
    </x:row>
    <x:row r="34" ht="15">
      <x:c r="A34" s="187" t="str">
        <x:f>'Raw Data'!A34</x:f>
        <x:v>ZOM-0030</x:v>
      </x:c>
      <x:c r="B34" s="188" t="n">
        <x:f>'Raw Data'!B34</x:f>
        <x:v>45687</x:v>
      </x:c>
      <x:c r="C34" s="234" t="str">
        <x:f>'Raw Data'!C34</x:f>
        <x:v>North</x:v>
      </x:c>
      <x:c r="D34" s="187" t="str">
        <x:f>'Raw Data'!D34</x:f>
        <x:v>Jaipur</x:v>
      </x:c>
      <x:c r="E34" s="187" t="str">
        <x:f>'Raw Data'!E34</x:f>
        <x:v>Healthy</x:v>
      </x:c>
      <x:c r="F34" s="187" t="str">
        <x:f>'Raw Data'!F34</x:f>
        <x:v>New User</x:v>
      </x:c>
      <x:c r="G34" s="187" t="str">
        <x:f>'Raw Data'!G34</x:f>
        <x:v>New User Customer 36</x:v>
      </x:c>
      <x:c r="H34" s="187" t="n">
        <x:f>'Raw Data'!H34</x:f>
        <x:v>104</x:v>
      </x:c>
      <x:c r="I34" s="190" t="n">
        <x:f>'Raw Data'!I34</x:f>
        <x:v>449</x:v>
      </x:c>
      <x:c r="J34" s="191" t="n">
        <x:f>'Raw Data'!J34</x:f>
        <x:v>0.08</x:v>
      </x:c>
      <x:c r="K34" s="190" t="n">
        <x:f>'Raw Data'!K34</x:f>
        <x:v>46696</x:v>
      </x:c>
      <x:c r="L34" s="190" t="n">
        <x:f>'Raw Data'!L34</x:f>
        <x:v>42960.32</x:v>
      </x:c>
      <x:c r="M34" s="190" t="n">
        <x:f>'Raw Data'!M34</x:f>
        <x:v>30072.224</x:v>
      </x:c>
      <x:c r="N34" s="190" t="n">
        <x:f>'Raw Data'!N34</x:f>
        <x:v>12888.096000000001</x:v>
      </x:c>
      <x:c r="O34" s="190" t="n">
        <x:f>'Raw Data'!O34</x:f>
        <x:v>5584.8416</x:v>
      </x:c>
      <x:c r="P34" s="190" t="n">
        <x:f>'Raw Data'!P34</x:f>
        <x:v>7303.254400000002</x:v>
      </x:c>
      <x:c r="Q34" s="190" t="n">
        <x:f>'Raw Data'!Q34</x:f>
        <x:v>46598.203919167056</x:v>
      </x:c>
      <x:c r="R34" s="196" t="n">
        <x:f t="shared" si="0">IFERROR(N34/L34,0)</x:f>
        <x:v>0.30000000000000004</x:v>
      </x:c>
      <x:c r="S34" s="196" t="n">
        <x:f t="shared" si="1">IFERROR(P34/L34,0)</x:f>
        <x:v>0.17000000000000004</x:v>
      </x:c>
      <x:c r="T34" s="196" t="n">
        <x:f t="shared" si="2">IFERROR(L34/Q34,0)</x:f>
        <x:v>0.9219308124948846</x:v>
      </x:c>
    </x:row>
    <x:row r="35" ht="15">
      <x:c r="A35" s="187" t="str">
        <x:f>'Raw Data'!A35</x:f>
        <x:v>ZOM-0031</x:v>
      </x:c>
      <x:c r="B35" s="188" t="n">
        <x:f>'Raw Data'!B35</x:f>
        <x:v>45688</x:v>
      </x:c>
      <x:c r="C35" s="234" t="str">
        <x:f>'Raw Data'!C35</x:f>
        <x:v>North</x:v>
      </x:c>
      <x:c r="D35" s="187" t="str">
        <x:f>'Raw Data'!D35</x:f>
        <x:v>Delhi</x:v>
      </x:c>
      <x:c r="E35" s="187" t="str">
        <x:f>'Raw Data'!E35</x:f>
        <x:v>Snacks</x:v>
      </x:c>
      <x:c r="F35" s="187" t="str">
        <x:f>'Raw Data'!F35</x:f>
        <x:v>Budget</x:v>
      </x:c>
      <x:c r="G35" s="187" t="str">
        <x:f>'Raw Data'!G35</x:f>
        <x:v>Budget Customer 20</x:v>
      </x:c>
      <x:c r="H35" s="187" t="n">
        <x:f>'Raw Data'!H35</x:f>
        <x:v>71</x:v>
      </x:c>
      <x:c r="I35" s="190" t="n">
        <x:f>'Raw Data'!I35</x:f>
        <x:v>253</x:v>
      </x:c>
      <x:c r="J35" s="191" t="n">
        <x:f>'Raw Data'!J35</x:f>
        <x:v>0.1</x:v>
      </x:c>
      <x:c r="K35" s="190" t="n">
        <x:f>'Raw Data'!K35</x:f>
        <x:v>17963</x:v>
      </x:c>
      <x:c r="L35" s="190" t="n">
        <x:f>'Raw Data'!L35</x:f>
        <x:v>16166.7</x:v>
      </x:c>
      <x:c r="M35" s="190" t="n">
        <x:f>'Raw Data'!M35</x:f>
        <x:v>11963.358</x:v>
      </x:c>
      <x:c r="N35" s="190" t="n">
        <x:f>'Raw Data'!N35</x:f>
        <x:v>4203.342000000001</x:v>
      </x:c>
      <x:c r="O35" s="190" t="n">
        <x:f>'Raw Data'!O35</x:f>
        <x:v>2101.6710000000003</x:v>
      </x:c>
      <x:c r="P35" s="190" t="n">
        <x:f>'Raw Data'!P35</x:f>
        <x:v>2101.6710000000003</x:v>
      </x:c>
      <x:c r="Q35" s="190" t="n">
        <x:f>'Raw Data'!Q35</x:f>
        <x:v>16413.94481718943</x:v>
      </x:c>
      <x:c r="R35" s="196" t="n">
        <x:f t="shared" si="0">IFERROR(N35/L35,0)</x:f>
        <x:v>0.26</x:v>
      </x:c>
      <x:c r="S35" s="196" t="n">
        <x:f t="shared" si="1">IFERROR(P35/L35,0)</x:f>
        <x:v>0.13</x:v>
      </x:c>
      <x:c r="T35" s="196" t="n">
        <x:f t="shared" si="2">IFERROR(L35/Q35,0)</x:f>
        <x:v>0.9849369045684556</x:v>
      </x:c>
    </x:row>
    <x:row r="36" ht="15">
      <x:c r="A36" s="187" t="str">
        <x:f>'Raw Data'!A36</x:f>
        <x:v>ZOM-0032</x:v>
      </x:c>
      <x:c r="B36" s="188" t="n">
        <x:f>'Raw Data'!B36</x:f>
        <x:v>45689</x:v>
      </x:c>
      <x:c r="C36" s="234" t="str">
        <x:f>'Raw Data'!C36</x:f>
        <x:v>South</x:v>
      </x:c>
      <x:c r="D36" s="187" t="str">
        <x:f>'Raw Data'!D36</x:f>
        <x:v>Bengaluru</x:v>
      </x:c>
      <x:c r="E36" s="187" t="str">
        <x:f>'Raw Data'!E36</x:f>
        <x:v>Beverages</x:v>
      </x:c>
      <x:c r="F36" s="187" t="str">
        <x:f>'Raw Data'!F36</x:f>
        <x:v>Repeat User</x:v>
      </x:c>
      <x:c r="G36" s="187" t="str">
        <x:f>'Raw Data'!G36</x:f>
        <x:v>Repeat User Customer 40</x:v>
      </x:c>
      <x:c r="H36" s="187" t="n">
        <x:f>'Raw Data'!H36</x:f>
        <x:v>102</x:v>
      </x:c>
      <x:c r="I36" s="190" t="n">
        <x:f>'Raw Data'!I36</x:f>
        <x:v>243</x:v>
      </x:c>
      <x:c r="J36" s="191" t="n">
        <x:f>'Raw Data'!J36</x:f>
        <x:v>0.05</x:v>
      </x:c>
      <x:c r="K36" s="190" t="n">
        <x:f>'Raw Data'!K36</x:f>
        <x:v>24786</x:v>
      </x:c>
      <x:c r="L36" s="190" t="n">
        <x:f>'Raw Data'!L36</x:f>
        <x:v>23546.699999999997</x:v>
      </x:c>
      <x:c r="M36" s="190" t="n">
        <x:f>'Raw Data'!M36</x:f>
        <x:v>16011.755999999996</x:v>
      </x:c>
      <x:c r="N36" s="190" t="n">
        <x:f>'Raw Data'!N36</x:f>
        <x:v>7534.944000000001</x:v>
      </x:c>
      <x:c r="O36" s="190" t="n">
        <x:f>'Raw Data'!O36</x:f>
        <x:v>3061.071</x:v>
      </x:c>
      <x:c r="P36" s="190" t="n">
        <x:f>'Raw Data'!P36</x:f>
        <x:v>4473.873000000001</x:v>
      </x:c>
      <x:c r="Q36" s="190" t="n">
        <x:f>'Raw Data'!Q36</x:f>
        <x:v>24694.961578219187</x:v>
      </x:c>
      <x:c r="R36" s="196" t="n">
        <x:f t="shared" si="0">IFERROR(N36/L36,0)</x:f>
        <x:v>0.3200000000000001</x:v>
      </x:c>
      <x:c r="S36" s="196" t="n">
        <x:f t="shared" si="1">IFERROR(P36/L36,0)</x:f>
        <x:v>0.19000000000000009</x:v>
      </x:c>
      <x:c r="T36" s="196" t="n">
        <x:f t="shared" si="2">IFERROR(L36/Q36,0)</x:f>
        <x:v>0.9535021921543725</x:v>
      </x:c>
    </x:row>
    <x:row r="37" ht="15">
      <x:c r="A37" s="187" t="str">
        <x:f>'Raw Data'!A37</x:f>
        <x:v>ZOM-0033</x:v>
      </x:c>
      <x:c r="B37" s="188" t="n">
        <x:f>'Raw Data'!B37</x:f>
        <x:v>45690</x:v>
      </x:c>
      <x:c r="C37" s="234" t="str">
        <x:f>'Raw Data'!C37</x:f>
        <x:v>Central</x:v>
      </x:c>
      <x:c r="D37" s="187" t="str">
        <x:f>'Raw Data'!D37</x:f>
        <x:v>Indore</x:v>
      </x:c>
      <x:c r="E37" s="187" t="str">
        <x:f>'Raw Data'!E37</x:f>
        <x:v>Healthy</x:v>
      </x:c>
      <x:c r="F37" s="187" t="str">
        <x:f>'Raw Data'!F37</x:f>
        <x:v>Student</x:v>
      </x:c>
      <x:c r="G37" s="187" t="str">
        <x:f>'Raw Data'!G37</x:f>
        <x:v>Student Customer 27</x:v>
      </x:c>
      <x:c r="H37" s="187" t="n">
        <x:f>'Raw Data'!H37</x:f>
        <x:v>59</x:v>
      </x:c>
      <x:c r="I37" s="190" t="n">
        <x:f>'Raw Data'!I37</x:f>
        <x:v>468</x:v>
      </x:c>
      <x:c r="J37" s="191" t="n">
        <x:f>'Raw Data'!J37</x:f>
        <x:v>0.09999999999999999</x:v>
      </x:c>
      <x:c r="K37" s="190" t="n">
        <x:f>'Raw Data'!K37</x:f>
        <x:v>27612</x:v>
      </x:c>
      <x:c r="L37" s="190" t="n">
        <x:f>'Raw Data'!L37</x:f>
        <x:v>24850.8</x:v>
      </x:c>
      <x:c r="M37" s="190" t="n">
        <x:f>'Raw Data'!M37</x:f>
        <x:v>17395.559999999998</x:v>
      </x:c>
      <x:c r="N37" s="190" t="n">
        <x:f>'Raw Data'!N37</x:f>
        <x:v>7455.240000000002</x:v>
      </x:c>
      <x:c r="O37" s="190" t="n">
        <x:f>'Raw Data'!O37</x:f>
        <x:v>3230.604</x:v>
      </x:c>
      <x:c r="P37" s="190" t="n">
        <x:f>'Raw Data'!P37</x:f>
        <x:v>4224.636000000002</x:v>
      </x:c>
      <x:c r="Q37" s="190" t="n">
        <x:f>'Raw Data'!Q37</x:f>
        <x:v>27183.95164061587</x:v>
      </x:c>
      <x:c r="R37" s="196" t="n">
        <x:f t="shared" si="0">IFERROR(N37/L37,0)</x:f>
        <x:v>0.3000000000000001</x:v>
      </x:c>
      <x:c r="S37" s="196" t="n">
        <x:f t="shared" si="1">IFERROR(P37/L37,0)</x:f>
        <x:v>0.1700000000000001</x:v>
      </x:c>
      <x:c r="T37" s="196" t="n">
        <x:f t="shared" si="2">IFERROR(L37/Q37,0)</x:f>
        <x:v>0.9141717263383489</x:v>
      </x:c>
    </x:row>
    <x:row r="38" ht="15">
      <x:c r="A38" s="187" t="str">
        <x:f>'Raw Data'!A38</x:f>
        <x:v>ZOM-0034</x:v>
      </x:c>
      <x:c r="B38" s="188" t="n">
        <x:f>'Raw Data'!B38</x:f>
        <x:v>45691</x:v>
      </x:c>
      <x:c r="C38" s="234" t="str">
        <x:f>'Raw Data'!C38</x:f>
        <x:v>Central</x:v>
      </x:c>
      <x:c r="D38" s="187" t="str">
        <x:f>'Raw Data'!D38</x:f>
        <x:v>Indore</x:v>
      </x:c>
      <x:c r="E38" s="187" t="str">
        <x:f>'Raw Data'!E38</x:f>
        <x:v>Biryani</x:v>
      </x:c>
      <x:c r="F38" s="187" t="str">
        <x:f>'Raw Data'!F38</x:f>
        <x:v>Budget</x:v>
      </x:c>
      <x:c r="G38" s="187" t="str">
        <x:f>'Raw Data'!G38</x:f>
        <x:v>Budget Customer 30</x:v>
      </x:c>
      <x:c r="H38" s="187" t="n">
        <x:f>'Raw Data'!H38</x:f>
        <x:v>55</x:v>
      </x:c>
      <x:c r="I38" s="190" t="n">
        <x:f>'Raw Data'!I38</x:f>
        <x:v>453</x:v>
      </x:c>
      <x:c r="J38" s="191" t="n">
        <x:f>'Raw Data'!J38</x:f>
        <x:v>0.08</x:v>
      </x:c>
      <x:c r="K38" s="190" t="n">
        <x:f>'Raw Data'!K38</x:f>
        <x:v>24915</x:v>
      </x:c>
      <x:c r="L38" s="190" t="n">
        <x:f>'Raw Data'!L38</x:f>
        <x:v>22921.8</x:v>
      </x:c>
      <x:c r="M38" s="190" t="n">
        <x:f>'Raw Data'!M38</x:f>
        <x:v>16962.131999999998</x:v>
      </x:c>
      <x:c r="N38" s="190" t="n">
        <x:f>'Raw Data'!N38</x:f>
        <x:v>5959.6680000000015</x:v>
      </x:c>
      <x:c r="O38" s="190" t="n">
        <x:f>'Raw Data'!O38</x:f>
        <x:v>2979.834</x:v>
      </x:c>
      <x:c r="P38" s="190" t="n">
        <x:f>'Raw Data'!P38</x:f>
        <x:v>2979.8340000000017</x:v>
      </x:c>
      <x:c r="Q38" s="190" t="n">
        <x:f>'Raw Data'!Q38</x:f>
        <x:v>25167.916182740602</x:v>
      </x:c>
      <x:c r="R38" s="196" t="n">
        <x:f t="shared" si="0">IFERROR(N38/L38,0)</x:f>
        <x:v>0.26000000000000006</x:v>
      </x:c>
      <x:c r="S38" s="196" t="n">
        <x:f t="shared" si="1">IFERROR(P38/L38,0)</x:f>
        <x:v>0.1300000000000001</x:v>
      </x:c>
      <x:c r="T38" s="196" t="n">
        <x:f t="shared" si="2">IFERROR(L38/Q38,0)</x:f>
        <x:v>0.9107547813481308</x:v>
      </x:c>
    </x:row>
    <x:row r="39" ht="15">
      <x:c r="A39" s="187" t="str">
        <x:f>'Raw Data'!A39</x:f>
        <x:v>ZOM-0035</x:v>
      </x:c>
      <x:c r="B39" s="188" t="n">
        <x:f>'Raw Data'!B39</x:f>
        <x:v>45692</x:v>
      </x:c>
      <x:c r="C39" s="234" t="str">
        <x:f>'Raw Data'!C39</x:f>
        <x:v>South</x:v>
      </x:c>
      <x:c r="D39" s="187" t="str">
        <x:f>'Raw Data'!D39</x:f>
        <x:v>Hyderabad</x:v>
      </x:c>
      <x:c r="E39" s="187" t="str">
        <x:f>'Raw Data'!E39</x:f>
        <x:v>Biryani</x:v>
      </x:c>
      <x:c r="F39" s="187" t="str">
        <x:f>'Raw Data'!F39</x:f>
        <x:v>Budget</x:v>
      </x:c>
      <x:c r="G39" s="187" t="str">
        <x:f>'Raw Data'!G39</x:f>
        <x:v>Budget Customer 26</x:v>
      </x:c>
      <x:c r="H39" s="187" t="n">
        <x:f>'Raw Data'!H39</x:f>
        <x:v>99</x:v>
      </x:c>
      <x:c r="I39" s="190" t="n">
        <x:f>'Raw Data'!I39</x:f>
        <x:v>442</x:v>
      </x:c>
      <x:c r="J39" s="191" t="n">
        <x:f>'Raw Data'!J39</x:f>
        <x:v>0.08</x:v>
      </x:c>
      <x:c r="K39" s="190" t="n">
        <x:f>'Raw Data'!K39</x:f>
        <x:v>43758</x:v>
      </x:c>
      <x:c r="L39" s="190" t="n">
        <x:f>'Raw Data'!L39</x:f>
        <x:v>40257.36</x:v>
      </x:c>
      <x:c r="M39" s="190" t="n">
        <x:f>'Raw Data'!M39</x:f>
        <x:v>29790.4464</x:v>
      </x:c>
      <x:c r="N39" s="190" t="n">
        <x:f>'Raw Data'!N39</x:f>
        <x:v>10466.9136</x:v>
      </x:c>
      <x:c r="O39" s="190" t="n">
        <x:f>'Raw Data'!O39</x:f>
        <x:v>5233.4568</x:v>
      </x:c>
      <x:c r="P39" s="190" t="n">
        <x:f>'Raw Data'!P39</x:f>
        <x:v>5233.4568</x:v>
      </x:c>
      <x:c r="Q39" s="190" t="n">
        <x:f>'Raw Data'!Q39</x:f>
        <x:v>43356.283354146384</x:v>
      </x:c>
      <x:c r="R39" s="196" t="n">
        <x:f t="shared" si="0">IFERROR(N39/L39,0)</x:f>
        <x:v>0.26</x:v>
      </x:c>
      <x:c r="S39" s="196" t="n">
        <x:f t="shared" si="1">IFERROR(P39/L39,0)</x:f>
        <x:v>0.13</x:v>
      </x:c>
      <x:c r="T39" s="196" t="n">
        <x:f t="shared" si="2">IFERROR(L39/Q39,0)</x:f>
        <x:v>0.928524238832155</x:v>
      </x:c>
    </x:row>
    <x:row r="40" ht="15">
      <x:c r="A40" s="187" t="str">
        <x:f>'Raw Data'!A40</x:f>
        <x:v>ZOM-0036</x:v>
      </x:c>
      <x:c r="B40" s="188" t="n">
        <x:f>'Raw Data'!B40</x:f>
        <x:v>45693</x:v>
      </x:c>
      <x:c r="C40" s="234" t="str">
        <x:f>'Raw Data'!C40</x:f>
        <x:v>East</x:v>
      </x:c>
      <x:c r="D40" s="187" t="str">
        <x:f>'Raw Data'!D40</x:f>
        <x:v>Guwahati</x:v>
      </x:c>
      <x:c r="E40" s="187" t="str">
        <x:f>'Raw Data'!E40</x:f>
        <x:v>Pizza</x:v>
      </x:c>
      <x:c r="F40" s="187" t="str">
        <x:f>'Raw Data'!F40</x:f>
        <x:v>New User</x:v>
      </x:c>
      <x:c r="G40" s="187" t="str">
        <x:f>'Raw Data'!G40</x:f>
        <x:v>New User Customer 51</x:v>
      </x:c>
      <x:c r="H40" s="187" t="n">
        <x:f>'Raw Data'!H40</x:f>
        <x:v>84</x:v>
      </x:c>
      <x:c r="I40" s="190" t="n">
        <x:f>'Raw Data'!I40</x:f>
        <x:v>556</x:v>
      </x:c>
      <x:c r="J40" s="191" t="n">
        <x:f>'Raw Data'!J40</x:f>
        <x:v>0.08</x:v>
      </x:c>
      <x:c r="K40" s="190" t="n">
        <x:f>'Raw Data'!K40</x:f>
        <x:v>46704</x:v>
      </x:c>
      <x:c r="L40" s="190" t="n">
        <x:f>'Raw Data'!L40</x:f>
        <x:v>42967.68</x:v>
      </x:c>
      <x:c r="M40" s="190" t="n">
        <x:f>'Raw Data'!M40</x:f>
        <x:v>31796.0832</x:v>
      </x:c>
      <x:c r="N40" s="190" t="n">
        <x:f>'Raw Data'!N40</x:f>
        <x:v>11171.5968</x:v>
      </x:c>
      <x:c r="O40" s="190" t="n">
        <x:f>'Raw Data'!O40</x:f>
        <x:v>5585.798400000001</x:v>
      </x:c>
      <x:c r="P40" s="190" t="n">
        <x:f>'Raw Data'!P40</x:f>
        <x:v>5585.798399999999</x:v>
      </x:c>
      <x:c r="Q40" s="190" t="n">
        <x:f>'Raw Data'!Q40</x:f>
        <x:v>44750.08478337383</x:v>
      </x:c>
      <x:c r="R40" s="196" t="n">
        <x:f t="shared" si="0">IFERROR(N40/L40,0)</x:f>
        <x:v>0.26</x:v>
      </x:c>
      <x:c r="S40" s="196" t="n">
        <x:f t="shared" si="1">IFERROR(P40/L40,0)</x:f>
        <x:v>0.12999999999999998</x:v>
      </x:c>
      <x:c r="T40" s="196" t="n">
        <x:f t="shared" si="2">IFERROR(L40/Q40,0)</x:f>
        <x:v>0.9601698009735157</x:v>
      </x:c>
    </x:row>
    <x:row r="41" ht="15">
      <x:c r="A41" s="187" t="str">
        <x:f>'Raw Data'!A41</x:f>
        <x:v>ZOM-0037</x:v>
      </x:c>
      <x:c r="B41" s="188" t="n">
        <x:f>'Raw Data'!B41</x:f>
        <x:v>45694</x:v>
      </x:c>
      <x:c r="C41" s="234" t="str">
        <x:f>'Raw Data'!C41</x:f>
        <x:v>South</x:v>
      </x:c>
      <x:c r="D41" s="187" t="str">
        <x:f>'Raw Data'!D41</x:f>
        <x:v>Coimbatore</x:v>
      </x:c>
      <x:c r="E41" s="187" t="str">
        <x:f>'Raw Data'!E41</x:f>
        <x:v>Snacks</x:v>
      </x:c>
      <x:c r="F41" s="187" t="str">
        <x:f>'Raw Data'!F41</x:f>
        <x:v>New User</x:v>
      </x:c>
      <x:c r="G41" s="187" t="str">
        <x:f>'Raw Data'!G41</x:f>
        <x:v>New User Customer 35</x:v>
      </x:c>
      <x:c r="H41" s="187" t="n">
        <x:f>'Raw Data'!H41</x:f>
        <x:v>136</x:v>
      </x:c>
      <x:c r="I41" s="190" t="n">
        <x:f>'Raw Data'!I41</x:f>
        <x:v>216</x:v>
      </x:c>
      <x:c r="J41" s="191" t="n">
        <x:f>'Raw Data'!J41</x:f>
        <x:v>0.06</x:v>
      </x:c>
      <x:c r="K41" s="190" t="n">
        <x:f>'Raw Data'!K41</x:f>
        <x:v>29376</x:v>
      </x:c>
      <x:c r="L41" s="190" t="n">
        <x:f>'Raw Data'!L41</x:f>
        <x:v>27613.44</x:v>
      </x:c>
      <x:c r="M41" s="190" t="n">
        <x:f>'Raw Data'!M41</x:f>
        <x:v>20433.9456</x:v>
      </x:c>
      <x:c r="N41" s="190" t="n">
        <x:f>'Raw Data'!N41</x:f>
        <x:v>7179.4944</x:v>
      </x:c>
      <x:c r="O41" s="190" t="n">
        <x:f>'Raw Data'!O41</x:f>
        <x:v>3589.7472</x:v>
      </x:c>
      <x:c r="P41" s="190" t="n">
        <x:f>'Raw Data'!P41</x:f>
        <x:v>3589.7472</x:v>
      </x:c>
      <x:c r="Q41" s="190" t="n">
        <x:f>'Raw Data'!Q41</x:f>
        <x:v>30680.43771575988</x:v>
      </x:c>
      <x:c r="R41" s="196" t="n">
        <x:f t="shared" si="0">IFERROR(N41/L41,0)</x:f>
        <x:v>0.26</x:v>
      </x:c>
      <x:c r="S41" s="196" t="n">
        <x:f t="shared" si="1">IFERROR(P41/L41,0)</x:f>
        <x:v>0.13</x:v>
      </x:c>
      <x:c r="T41" s="196" t="n">
        <x:f t="shared" si="2">IFERROR(L41/Q41,0)</x:f>
        <x:v>0.9000340952050879</x:v>
      </x:c>
    </x:row>
    <x:row r="42" ht="15">
      <x:c r="A42" s="187" t="str">
        <x:f>'Raw Data'!A42</x:f>
        <x:v>ZOM-0038</x:v>
      </x:c>
      <x:c r="B42" s="188" t="n">
        <x:f>'Raw Data'!B42</x:f>
        <x:v>45695</x:v>
      </x:c>
      <x:c r="C42" s="234" t="str">
        <x:f>'Raw Data'!C42</x:f>
        <x:v>East</x:v>
      </x:c>
      <x:c r="D42" s="187" t="str">
        <x:f>'Raw Data'!D42</x:f>
        <x:v>Bhubaneswar</x:v>
      </x:c>
      <x:c r="E42" s="187" t="str">
        <x:f>'Raw Data'!E42</x:f>
        <x:v>Pizza</x:v>
      </x:c>
      <x:c r="F42" s="187" t="str">
        <x:f>'Raw Data'!F42</x:f>
        <x:v>New User</x:v>
      </x:c>
      <x:c r="G42" s="187" t="str">
        <x:f>'Raw Data'!G42</x:f>
        <x:v>New User Customer 27</x:v>
      </x:c>
      <x:c r="H42" s="187" t="n">
        <x:f>'Raw Data'!H42</x:f>
        <x:v>91</x:v>
      </x:c>
      <x:c r="I42" s="190" t="n">
        <x:f>'Raw Data'!I42</x:f>
        <x:v>675</x:v>
      </x:c>
      <x:c r="J42" s="191" t="n">
        <x:f>'Raw Data'!J42</x:f>
        <x:v>0.06</x:v>
      </x:c>
      <x:c r="K42" s="190" t="n">
        <x:f>'Raw Data'!K42</x:f>
        <x:v>61425</x:v>
      </x:c>
      <x:c r="L42" s="190" t="n">
        <x:f>'Raw Data'!L42</x:f>
        <x:v>57739.5</x:v>
      </x:c>
      <x:c r="M42" s="190" t="n">
        <x:f>'Raw Data'!M42</x:f>
        <x:v>42727.229999999996</x:v>
      </x:c>
      <x:c r="N42" s="190" t="n">
        <x:f>'Raw Data'!N42</x:f>
        <x:v>15012.270000000004</x:v>
      </x:c>
      <x:c r="O42" s="190" t="n">
        <x:f>'Raw Data'!O42</x:f>
        <x:v>7506.135</x:v>
      </x:c>
      <x:c r="P42" s="190" t="n">
        <x:f>'Raw Data'!P42</x:f>
        <x:v>7506.135000000004</x:v>
      </x:c>
      <x:c r="Q42" s="190" t="n">
        <x:f>'Raw Data'!Q42</x:f>
        <x:v>59882.453010431585</x:v>
      </x:c>
      <x:c r="R42" s="196" t="n">
        <x:f t="shared" si="0">IFERROR(N42/L42,0)</x:f>
        <x:v>0.26000000000000006</x:v>
      </x:c>
      <x:c r="S42" s="196" t="n">
        <x:f t="shared" si="1">IFERROR(P42/L42,0)</x:f>
        <x:v>0.13000000000000006</x:v>
      </x:c>
      <x:c r="T42" s="196" t="n">
        <x:f t="shared" si="2">IFERROR(L42/Q42,0)</x:f>
        <x:v>0.9642140075648157</x:v>
      </x:c>
    </x:row>
    <x:row r="43" ht="15">
      <x:c r="A43" s="187" t="str">
        <x:f>'Raw Data'!A43</x:f>
        <x:v>ZOM-0039</x:v>
      </x:c>
      <x:c r="B43" s="188" t="n">
        <x:f>'Raw Data'!B43</x:f>
        <x:v>45696</x:v>
      </x:c>
      <x:c r="C43" s="234" t="str">
        <x:f>'Raw Data'!C43</x:f>
        <x:v>South</x:v>
      </x:c>
      <x:c r="D43" s="187" t="str">
        <x:f>'Raw Data'!D43</x:f>
        <x:v>Chennai</x:v>
      </x:c>
      <x:c r="E43" s="187" t="str">
        <x:f>'Raw Data'!E43</x:f>
        <x:v>Chinese</x:v>
      </x:c>
      <x:c r="F43" s="187" t="str">
        <x:f>'Raw Data'!F43</x:f>
        <x:v>Repeat User</x:v>
      </x:c>
      <x:c r="G43" s="187" t="str">
        <x:f>'Raw Data'!G43</x:f>
        <x:v>Repeat User Customer 01</x:v>
      </x:c>
      <x:c r="H43" s="187" t="n">
        <x:f>'Raw Data'!H43</x:f>
        <x:v>119</x:v>
      </x:c>
      <x:c r="I43" s="190" t="n">
        <x:f>'Raw Data'!I43</x:f>
        <x:v>489</x:v>
      </x:c>
      <x:c r="J43" s="191" t="n">
        <x:f>'Raw Data'!J43</x:f>
        <x:v>0.05</x:v>
      </x:c>
      <x:c r="K43" s="190" t="n">
        <x:f>'Raw Data'!K43</x:f>
        <x:v>58191</x:v>
      </x:c>
      <x:c r="L43" s="190" t="n">
        <x:f>'Raw Data'!L43</x:f>
        <x:v>55281.45</x:v>
      </x:c>
      <x:c r="M43" s="190" t="n">
        <x:f>'Raw Data'!M43</x:f>
        <x:v>40908.272999999994</x:v>
      </x:c>
      <x:c r="N43" s="190" t="n">
        <x:f>'Raw Data'!N43</x:f>
        <x:v>14373.177000000003</x:v>
      </x:c>
      <x:c r="O43" s="190" t="n">
        <x:f>'Raw Data'!O43</x:f>
        <x:v>7186.5885</x:v>
      </x:c>
      <x:c r="P43" s="190" t="n">
        <x:f>'Raw Data'!P43</x:f>
        <x:v>7186.5885000000035</x:v>
      </x:c>
      <x:c r="Q43" s="190" t="n">
        <x:f>'Raw Data'!Q43</x:f>
        <x:v>58916.34163813205</x:v>
      </x:c>
      <x:c r="R43" s="196" t="n">
        <x:f t="shared" si="0">IFERROR(N43/L43,0)</x:f>
        <x:v>0.26000000000000006</x:v>
      </x:c>
      <x:c r="S43" s="196" t="n">
        <x:f t="shared" si="1">IFERROR(P43/L43,0)</x:f>
        <x:v>0.13000000000000006</x:v>
      </x:c>
      <x:c r="T43" s="196" t="n">
        <x:f t="shared" si="2">IFERROR(L43/Q43,0)</x:f>
        <x:v>0.9383041862908293</x:v>
      </x:c>
    </x:row>
    <x:row r="44" ht="15">
      <x:c r="A44" s="187" t="str">
        <x:f>'Raw Data'!A44</x:f>
        <x:v>ZOM-0040</x:v>
      </x:c>
      <x:c r="B44" s="188" t="n">
        <x:f>'Raw Data'!B44</x:f>
        <x:v>45697</x:v>
      </x:c>
      <x:c r="C44" s="234" t="str">
        <x:f>'Raw Data'!C44</x:f>
        <x:v>South</x:v>
      </x:c>
      <x:c r="D44" s="187" t="str">
        <x:f>'Raw Data'!D44</x:f>
        <x:v>Hyderabad</x:v>
      </x:c>
      <x:c r="E44" s="187" t="str">
        <x:f>'Raw Data'!E44</x:f>
        <x:v>South Indian</x:v>
      </x:c>
      <x:c r="F44" s="187" t="str">
        <x:f>'Raw Data'!F44</x:f>
        <x:v>Corporate</x:v>
      </x:c>
      <x:c r="G44" s="187" t="str">
        <x:f>'Raw Data'!G44</x:f>
        <x:v>Corporate Customer 51</x:v>
      </x:c>
      <x:c r="H44" s="187" t="n">
        <x:f>'Raw Data'!H44</x:f>
        <x:v>129</x:v>
      </x:c>
      <x:c r="I44" s="190" t="n">
        <x:f>'Raw Data'!I44</x:f>
        <x:v>367</x:v>
      </x:c>
      <x:c r="J44" s="191" t="n">
        <x:f>'Raw Data'!J44</x:f>
        <x:v>0.03</x:v>
      </x:c>
      <x:c r="K44" s="190" t="n">
        <x:f>'Raw Data'!K44</x:f>
        <x:v>47343</x:v>
      </x:c>
      <x:c r="L44" s="190" t="n">
        <x:f>'Raw Data'!L44</x:f>
        <x:v>45922.71</x:v>
      </x:c>
      <x:c r="M44" s="190" t="n">
        <x:f>'Raw Data'!M44</x:f>
        <x:v>33982.8054</x:v>
      </x:c>
      <x:c r="N44" s="190" t="n">
        <x:f>'Raw Data'!N44</x:f>
        <x:v>11939.904600000002</x:v>
      </x:c>
      <x:c r="O44" s="190" t="n">
        <x:f>'Raw Data'!O44</x:f>
        <x:v>5969.9523</x:v>
      </x:c>
      <x:c r="P44" s="190" t="n">
        <x:f>'Raw Data'!P44</x:f>
        <x:v>5969.952300000002</x:v>
      </x:c>
      <x:c r="Q44" s="190" t="n">
        <x:f>'Raw Data'!Q44</x:f>
        <x:v>50296.767665985506</x:v>
      </x:c>
      <x:c r="R44" s="196" t="n">
        <x:f t="shared" si="0">IFERROR(N44/L44,0)</x:f>
        <x:v>0.26000000000000006</x:v>
      </x:c>
      <x:c r="S44" s="196" t="n">
        <x:f t="shared" si="1">IFERROR(P44/L44,0)</x:f>
        <x:v>0.13000000000000003</x:v>
      </x:c>
      <x:c r="T44" s="196" t="n">
        <x:f t="shared" si="2">IFERROR(L44/Q44,0)</x:f>
        <x:v>0.9130350145951113</x:v>
      </x:c>
    </x:row>
    <x:row r="45" ht="15">
      <x:c r="A45" s="187" t="str">
        <x:f>'Raw Data'!A45</x:f>
        <x:v>ZOM-0041</x:v>
      </x:c>
      <x:c r="B45" s="188" t="n">
        <x:f>'Raw Data'!B45</x:f>
        <x:v>45698</x:v>
      </x:c>
      <x:c r="C45" s="234" t="str">
        <x:f>'Raw Data'!C45</x:f>
        <x:v>Central</x:v>
      </x:c>
      <x:c r="D45" s="187" t="str">
        <x:f>'Raw Data'!D45</x:f>
        <x:v>Bhopal</x:v>
      </x:c>
      <x:c r="E45" s="187" t="str">
        <x:f>'Raw Data'!E45</x:f>
        <x:v>Pizza</x:v>
      </x:c>
      <x:c r="F45" s="187" t="str">
        <x:f>'Raw Data'!F45</x:f>
        <x:v>Budget</x:v>
      </x:c>
      <x:c r="G45" s="187" t="str">
        <x:f>'Raw Data'!G45</x:f>
        <x:v>Budget Customer 02</x:v>
      </x:c>
      <x:c r="H45" s="187" t="n">
        <x:f>'Raw Data'!H45</x:f>
        <x:v>99</x:v>
      </x:c>
      <x:c r="I45" s="190" t="n">
        <x:f>'Raw Data'!I45</x:f>
        <x:v>598</x:v>
      </x:c>
      <x:c r="J45" s="191" t="n">
        <x:f>'Raw Data'!J45</x:f>
        <x:v>0.1</x:v>
      </x:c>
      <x:c r="K45" s="190" t="n">
        <x:f>'Raw Data'!K45</x:f>
        <x:v>59202</x:v>
      </x:c>
      <x:c r="L45" s="190" t="n">
        <x:f>'Raw Data'!L45</x:f>
        <x:v>53281.8</x:v>
      </x:c>
      <x:c r="M45" s="190" t="n">
        <x:f>'Raw Data'!M45</x:f>
        <x:v>39428.532</x:v>
      </x:c>
      <x:c r="N45" s="190" t="n">
        <x:f>'Raw Data'!N45</x:f>
        <x:v>13853.268000000004</x:v>
      </x:c>
      <x:c r="O45" s="190" t="n">
        <x:f>'Raw Data'!O45</x:f>
        <x:v>6926.634000000001</x:v>
      </x:c>
      <x:c r="P45" s="190" t="n">
        <x:f>'Raw Data'!P45</x:f>
        <x:v>6926.634000000003</x:v>
      </x:c>
      <x:c r="Q45" s="190" t="n">
        <x:f>'Raw Data'!Q45</x:f>
        <x:v>54555.000149946114</x:v>
      </x:c>
      <x:c r="R45" s="196" t="n">
        <x:f t="shared" si="0">IFERROR(N45/L45,0)</x:f>
        <x:v>0.26000000000000006</x:v>
      </x:c>
      <x:c r="S45" s="196" t="n">
        <x:f t="shared" si="1">IFERROR(P45/L45,0)</x:f>
        <x:v>0.13000000000000003</x:v>
      </x:c>
      <x:c r="T45" s="196" t="n">
        <x:f t="shared" si="2">IFERROR(L45/Q45,0)</x:f>
        <x:v>0.9766620814508903</x:v>
      </x:c>
    </x:row>
    <x:row r="46" ht="15">
      <x:c r="A46" s="187" t="str">
        <x:f>'Raw Data'!A46</x:f>
        <x:v>ZOM-0042</x:v>
      </x:c>
      <x:c r="B46" s="188" t="n">
        <x:f>'Raw Data'!B46</x:f>
        <x:v>45699</x:v>
      </x:c>
      <x:c r="C46" s="234" t="str">
        <x:f>'Raw Data'!C46</x:f>
        <x:v>North</x:v>
      </x:c>
      <x:c r="D46" s="187" t="str">
        <x:f>'Raw Data'!D46</x:f>
        <x:v>Jaipur</x:v>
      </x:c>
      <x:c r="E46" s="187" t="str">
        <x:f>'Raw Data'!E46</x:f>
        <x:v>Burgers</x:v>
      </x:c>
      <x:c r="F46" s="187" t="str">
        <x:f>'Raw Data'!F46</x:f>
        <x:v>Budget</x:v>
      </x:c>
      <x:c r="G46" s="187" t="str">
        <x:f>'Raw Data'!G46</x:f>
        <x:v>Budget Customer 10</x:v>
      </x:c>
      <x:c r="H46" s="187" t="n">
        <x:f>'Raw Data'!H46</x:f>
        <x:v>99</x:v>
      </x:c>
      <x:c r="I46" s="190" t="n">
        <x:f>'Raw Data'!I46</x:f>
        <x:v>409</x:v>
      </x:c>
      <x:c r="J46" s="191" t="n">
        <x:f>'Raw Data'!J46</x:f>
        <x:v>0.1</x:v>
      </x:c>
      <x:c r="K46" s="190" t="n">
        <x:f>'Raw Data'!K46</x:f>
        <x:v>40491</x:v>
      </x:c>
      <x:c r="L46" s="190" t="n">
        <x:f>'Raw Data'!L46</x:f>
        <x:v>36441.9</x:v>
      </x:c>
      <x:c r="M46" s="190" t="n">
        <x:f>'Raw Data'!M46</x:f>
        <x:v>26967.006</x:v>
      </x:c>
      <x:c r="N46" s="190" t="n">
        <x:f>'Raw Data'!N46</x:f>
        <x:v>9474.894</x:v>
      </x:c>
      <x:c r="O46" s="190" t="n">
        <x:f>'Raw Data'!O46</x:f>
        <x:v>4737.447</x:v>
      </x:c>
      <x:c r="P46" s="190" t="n">
        <x:f>'Raw Data'!P46</x:f>
        <x:v>4737.447</x:v>
      </x:c>
      <x:c r="Q46" s="190" t="n">
        <x:f>'Raw Data'!Q46</x:f>
        <x:v>38189.59315963926</x:v>
      </x:c>
      <x:c r="R46" s="196" t="n">
        <x:f t="shared" si="0">IFERROR(N46/L46,0)</x:f>
        <x:v>0.26</x:v>
      </x:c>
      <x:c r="S46" s="196" t="n">
        <x:f t="shared" si="1">IFERROR(P46/L46,0)</x:f>
        <x:v>0.13</x:v>
      </x:c>
      <x:c r="T46" s="196" t="n">
        <x:f t="shared" si="2">IFERROR(L46/Q46,0)</x:f>
        <x:v>0.9542364027725146</x:v>
      </x:c>
    </x:row>
    <x:row r="47" ht="15">
      <x:c r="A47" s="187" t="str">
        <x:f>'Raw Data'!A47</x:f>
        <x:v>ZOM-0043</x:v>
      </x:c>
      <x:c r="B47" s="188" t="n">
        <x:f>'Raw Data'!B47</x:f>
        <x:v>45700</x:v>
      </x:c>
      <x:c r="C47" s="234" t="str">
        <x:f>'Raw Data'!C47</x:f>
        <x:v>East</x:v>
      </x:c>
      <x:c r="D47" s="187" t="str">
        <x:f>'Raw Data'!D47</x:f>
        <x:v>Kolkata</x:v>
      </x:c>
      <x:c r="E47" s="187" t="str">
        <x:f>'Raw Data'!E47</x:f>
        <x:v>Beverages</x:v>
      </x:c>
      <x:c r="F47" s="187" t="str">
        <x:f>'Raw Data'!F47</x:f>
        <x:v>Student</x:v>
      </x:c>
      <x:c r="G47" s="187" t="str">
        <x:f>'Raw Data'!G47</x:f>
        <x:v>Student Customer 04</x:v>
      </x:c>
      <x:c r="H47" s="187" t="n">
        <x:f>'Raw Data'!H47</x:f>
        <x:v>55</x:v>
      </x:c>
      <x:c r="I47" s="190" t="n">
        <x:f>'Raw Data'!I47</x:f>
        <x:v>254</x:v>
      </x:c>
      <x:c r="J47" s="191" t="n">
        <x:f>'Raw Data'!J47</x:f>
        <x:v>0.12</x:v>
      </x:c>
      <x:c r="K47" s="190" t="n">
        <x:f>'Raw Data'!K47</x:f>
        <x:v>13970</x:v>
      </x:c>
      <x:c r="L47" s="190" t="n">
        <x:f>'Raw Data'!L47</x:f>
        <x:v>12293.6</x:v>
      </x:c>
      <x:c r="M47" s="190" t="n">
        <x:f>'Raw Data'!M47</x:f>
        <x:v>8359.648</x:v>
      </x:c>
      <x:c r="N47" s="190" t="n">
        <x:f>'Raw Data'!N47</x:f>
        <x:v>3933.952000000001</x:v>
      </x:c>
      <x:c r="O47" s="190" t="n">
        <x:f>'Raw Data'!O47</x:f>
        <x:v>1598.1680000000001</x:v>
      </x:c>
      <x:c r="P47" s="190" t="n">
        <x:f>'Raw Data'!P47</x:f>
        <x:v>2335.784000000001</x:v>
      </x:c>
      <x:c r="Q47" s="190" t="n">
        <x:f>'Raw Data'!Q47</x:f>
        <x:v>13057.707848102622</x:v>
      </x:c>
      <x:c r="R47" s="196" t="n">
        <x:f t="shared" si="0">IFERROR(N47/L47,0)</x:f>
        <x:v>0.32000000000000006</x:v>
      </x:c>
      <x:c r="S47" s="196" t="n">
        <x:f t="shared" si="1">IFERROR(P47/L47,0)</x:f>
        <x:v>0.19000000000000009</x:v>
      </x:c>
      <x:c r="T47" s="196" t="n">
        <x:f t="shared" si="2">IFERROR(L47/Q47,0)</x:f>
        <x:v>0.9414822373887273</x:v>
      </x:c>
    </x:row>
    <x:row r="48" ht="15">
      <x:c r="A48" s="187" t="str">
        <x:f>'Raw Data'!A48</x:f>
        <x:v>ZOM-0044</x:v>
      </x:c>
      <x:c r="B48" s="188" t="n">
        <x:f>'Raw Data'!B48</x:f>
        <x:v>45701</x:v>
      </x:c>
      <x:c r="C48" s="234" t="str">
        <x:f>'Raw Data'!C48</x:f>
        <x:v>West</x:v>
      </x:c>
      <x:c r="D48" s="187" t="str">
        <x:f>'Raw Data'!D48</x:f>
        <x:v>Mumbai</x:v>
      </x:c>
      <x:c r="E48" s="187" t="str">
        <x:f>'Raw Data'!E48</x:f>
        <x:v>South Indian</x:v>
      </x:c>
      <x:c r="F48" s="187" t="str">
        <x:f>'Raw Data'!F48</x:f>
        <x:v>Budget</x:v>
      </x:c>
      <x:c r="G48" s="187" t="str">
        <x:f>'Raw Data'!G48</x:f>
        <x:v>Budget Customer 47</x:v>
      </x:c>
      <x:c r="H48" s="187" t="n">
        <x:f>'Raw Data'!H48</x:f>
        <x:v>116</x:v>
      </x:c>
      <x:c r="I48" s="190" t="n">
        <x:f>'Raw Data'!I48</x:f>
        <x:v>448</x:v>
      </x:c>
      <x:c r="J48" s="191" t="n">
        <x:f>'Raw Data'!J48</x:f>
        <x:v>0.1</x:v>
      </x:c>
      <x:c r="K48" s="190" t="n">
        <x:f>'Raw Data'!K48</x:f>
        <x:v>51968</x:v>
      </x:c>
      <x:c r="L48" s="190" t="n">
        <x:f>'Raw Data'!L48</x:f>
        <x:v>46771.200000000004</x:v>
      </x:c>
      <x:c r="M48" s="190" t="n">
        <x:f>'Raw Data'!M48</x:f>
        <x:v>34610.688</x:v>
      </x:c>
      <x:c r="N48" s="190" t="n">
        <x:f>'Raw Data'!N48</x:f>
        <x:v>12160.512000000002</x:v>
      </x:c>
      <x:c r="O48" s="190" t="n">
        <x:f>'Raw Data'!O48</x:f>
        <x:v>6080.256000000001</x:v>
      </x:c>
      <x:c r="P48" s="190" t="n">
        <x:f>'Raw Data'!P48</x:f>
        <x:v>6080.256000000001</x:v>
      </x:c>
      <x:c r="Q48" s="190" t="n">
        <x:f>'Raw Data'!Q48</x:f>
        <x:v>50209.73811820261</x:v>
      </x:c>
      <x:c r="R48" s="196" t="n">
        <x:f t="shared" si="0">IFERROR(N48/L48,0)</x:f>
        <x:v>0.26</x:v>
      </x:c>
      <x:c r="S48" s="196" t="n">
        <x:f t="shared" si="1">IFERROR(P48/L48,0)</x:f>
        <x:v>0.13</x:v>
      </x:c>
      <x:c r="T48" s="196" t="n">
        <x:f t="shared" si="2">IFERROR(L48/Q48,0)</x:f>
        <x:v>0.9315165096040199</x:v>
      </x:c>
    </x:row>
    <x:row r="49" ht="15">
      <x:c r="A49" s="187" t="str">
        <x:f>'Raw Data'!A49</x:f>
        <x:v>ZOM-0045</x:v>
      </x:c>
      <x:c r="B49" s="188" t="n">
        <x:f>'Raw Data'!B49</x:f>
        <x:v>45702</x:v>
      </x:c>
      <x:c r="C49" s="234" t="str">
        <x:f>'Raw Data'!C49</x:f>
        <x:v>Metro</x:v>
      </x:c>
      <x:c r="D49" s="187" t="str">
        <x:f>'Raw Data'!D49</x:f>
        <x:v>Hyderabad</x:v>
      </x:c>
      <x:c r="E49" s="187" t="str">
        <x:f>'Raw Data'!E49</x:f>
        <x:v>Healthy</x:v>
      </x:c>
      <x:c r="F49" s="187" t="str">
        <x:f>'Raw Data'!F49</x:f>
        <x:v>Gold User</x:v>
      </x:c>
      <x:c r="G49" s="187" t="str">
        <x:f>'Raw Data'!G49</x:f>
        <x:v>Gold User Customer 18</x:v>
      </x:c>
      <x:c r="H49" s="187" t="n">
        <x:f>'Raw Data'!H49</x:f>
        <x:v>109</x:v>
      </x:c>
      <x:c r="I49" s="190" t="n">
        <x:f>'Raw Data'!I49</x:f>
        <x:v>445</x:v>
      </x:c>
      <x:c r="J49" s="191" t="n">
        <x:f>'Raw Data'!J49</x:f>
        <x:v>0.04</x:v>
      </x:c>
      <x:c r="K49" s="190" t="n">
        <x:f>'Raw Data'!K49</x:f>
        <x:v>48505</x:v>
      </x:c>
      <x:c r="L49" s="190" t="n">
        <x:f>'Raw Data'!L49</x:f>
        <x:v>46564.799999999996</x:v>
      </x:c>
      <x:c r="M49" s="190" t="n">
        <x:f>'Raw Data'!M49</x:f>
        <x:v>32595.359999999993</x:v>
      </x:c>
      <x:c r="N49" s="190" t="n">
        <x:f>'Raw Data'!N49</x:f>
        <x:v>13969.440000000002</x:v>
      </x:c>
      <x:c r="O49" s="190" t="n">
        <x:f>'Raw Data'!O49</x:f>
        <x:v>6053.424</x:v>
      </x:c>
      <x:c r="P49" s="190" t="n">
        <x:f>'Raw Data'!P49</x:f>
        <x:v>7916.016000000002</x:v>
      </x:c>
      <x:c r="Q49" s="190" t="n">
        <x:f>'Raw Data'!Q49</x:f>
        <x:v>51257.76568797377</x:v>
      </x:c>
      <x:c r="R49" s="196" t="n">
        <x:f t="shared" si="0">IFERROR(N49/L49,0)</x:f>
        <x:v>0.3000000000000001</x:v>
      </x:c>
      <x:c r="S49" s="196" t="n">
        <x:f t="shared" si="1">IFERROR(P49/L49,0)</x:f>
        <x:v>0.17000000000000007</x:v>
      </x:c>
      <x:c r="T49" s="196" t="n">
        <x:f t="shared" si="2">IFERROR(L49/Q49,0)</x:f>
        <x:v>0.9084438109038598</x:v>
      </x:c>
    </x:row>
    <x:row r="50" ht="15">
      <x:c r="A50" s="187" t="str">
        <x:f>'Raw Data'!A50</x:f>
        <x:v>ZOM-0046</x:v>
      </x:c>
      <x:c r="B50" s="188" t="n">
        <x:f>'Raw Data'!B50</x:f>
        <x:v>45703</x:v>
      </x:c>
      <x:c r="C50" s="234" t="str">
        <x:f>'Raw Data'!C50</x:f>
        <x:v>Central</x:v>
      </x:c>
      <x:c r="D50" s="187" t="str">
        <x:f>'Raw Data'!D50</x:f>
        <x:v>Varanasi</x:v>
      </x:c>
      <x:c r="E50" s="187" t="str">
        <x:f>'Raw Data'!E50</x:f>
        <x:v>South Indian</x:v>
      </x:c>
      <x:c r="F50" s="187" t="str">
        <x:f>'Raw Data'!F50</x:f>
        <x:v>Repeat User</x:v>
      </x:c>
      <x:c r="G50" s="187" t="str">
        <x:f>'Raw Data'!G50</x:f>
        <x:v>Repeat User Customer 06</x:v>
      </x:c>
      <x:c r="H50" s="187" t="n">
        <x:f>'Raw Data'!H50</x:f>
        <x:v>104</x:v>
      </x:c>
      <x:c r="I50" s="190" t="n">
        <x:f>'Raw Data'!I50</x:f>
        <x:v>307</x:v>
      </x:c>
      <x:c r="J50" s="191" t="n">
        <x:f>'Raw Data'!J50</x:f>
        <x:v>0.05</x:v>
      </x:c>
      <x:c r="K50" s="190" t="n">
        <x:f>'Raw Data'!K50</x:f>
        <x:v>31928</x:v>
      </x:c>
      <x:c r="L50" s="190" t="n">
        <x:f>'Raw Data'!L50</x:f>
        <x:v>30331.6</x:v>
      </x:c>
      <x:c r="M50" s="190" t="n">
        <x:f>'Raw Data'!M50</x:f>
        <x:v>22445.384</x:v>
      </x:c>
      <x:c r="N50" s="190" t="n">
        <x:f>'Raw Data'!N50</x:f>
        <x:v>7886.216</x:v>
      </x:c>
      <x:c r="O50" s="190" t="n">
        <x:f>'Raw Data'!O50</x:f>
        <x:v>3943.1079999999997</x:v>
      </x:c>
      <x:c r="P50" s="190" t="n">
        <x:f>'Raw Data'!P50</x:f>
        <x:v>3943.1080000000006</x:v>
      </x:c>
      <x:c r="Q50" s="190" t="n">
        <x:f>'Raw Data'!Q50</x:f>
        <x:v>33582.03192177553</x:v>
      </x:c>
      <x:c r="R50" s="196" t="n">
        <x:f t="shared" si="0">IFERROR(N50/L50,0)</x:f>
        <x:v>0.26</x:v>
      </x:c>
      <x:c r="S50" s="196" t="n">
        <x:f t="shared" si="1">IFERROR(P50/L50,0)</x:f>
        <x:v>0.13000000000000003</x:v>
      </x:c>
      <x:c r="T50" s="196" t="n">
        <x:f t="shared" si="2">IFERROR(L50/Q50,0)</x:f>
        <x:v>0.9032091944481816</x:v>
      </x:c>
    </x:row>
    <x:row r="51" ht="15">
      <x:c r="A51" s="187" t="str">
        <x:f>'Raw Data'!A51</x:f>
        <x:v>ZOM-0047</x:v>
      </x:c>
      <x:c r="B51" s="188" t="n">
        <x:f>'Raw Data'!B51</x:f>
        <x:v>45704</x:v>
      </x:c>
      <x:c r="C51" s="234" t="str">
        <x:f>'Raw Data'!C51</x:f>
        <x:v>North</x:v>
      </x:c>
      <x:c r="D51" s="187" t="str">
        <x:f>'Raw Data'!D51</x:f>
        <x:v>Noida</x:v>
      </x:c>
      <x:c r="E51" s="187" t="str">
        <x:f>'Raw Data'!E51</x:f>
        <x:v>Pizza</x:v>
      </x:c>
      <x:c r="F51" s="187" t="str">
        <x:f>'Raw Data'!F51</x:f>
        <x:v>New User</x:v>
      </x:c>
      <x:c r="G51" s="187" t="str">
        <x:f>'Raw Data'!G51</x:f>
        <x:v>New User Customer 54</x:v>
      </x:c>
      <x:c r="H51" s="187" t="n">
        <x:f>'Raw Data'!H51</x:f>
        <x:v>87</x:v>
      </x:c>
      <x:c r="I51" s="190" t="n">
        <x:f>'Raw Data'!I51</x:f>
        <x:v>526</x:v>
      </x:c>
      <x:c r="J51" s="191" t="n">
        <x:f>'Raw Data'!J51</x:f>
        <x:v>0.09</x:v>
      </x:c>
      <x:c r="K51" s="190" t="n">
        <x:f>'Raw Data'!K51</x:f>
        <x:v>45762</x:v>
      </x:c>
      <x:c r="L51" s="190" t="n">
        <x:f>'Raw Data'!L51</x:f>
        <x:v>41643.42</x:v>
      </x:c>
      <x:c r="M51" s="190" t="n">
        <x:f>'Raw Data'!M51</x:f>
        <x:v>30816.1308</x:v>
      </x:c>
      <x:c r="N51" s="190" t="n">
        <x:f>'Raw Data'!N51</x:f>
        <x:v>10827.2892</x:v>
      </x:c>
      <x:c r="O51" s="190" t="n">
        <x:f>'Raw Data'!O51</x:f>
        <x:v>5413.6446</x:v>
      </x:c>
      <x:c r="P51" s="190" t="n">
        <x:f>'Raw Data'!P51</x:f>
        <x:v>5413.6446</x:v>
      </x:c>
      <x:c r="Q51" s="190" t="n">
        <x:f>'Raw Data'!Q51</x:f>
        <x:v>41954.57485649168</x:v>
      </x:c>
      <x:c r="R51" s="196" t="n">
        <x:f t="shared" si="0">IFERROR(N51/L51,0)</x:f>
        <x:v>0.26</x:v>
      </x:c>
      <x:c r="S51" s="196" t="n">
        <x:f t="shared" si="1">IFERROR(P51/L51,0)</x:f>
        <x:v>0.13</x:v>
      </x:c>
      <x:c r="T51" s="196" t="n">
        <x:f t="shared" si="2">IFERROR(L51/Q51,0)</x:f>
        <x:v>0.9925835297448251</x:v>
      </x:c>
    </x:row>
    <x:row r="52" ht="15">
      <x:c r="A52" s="187" t="str">
        <x:f>'Raw Data'!A52</x:f>
        <x:v>ZOM-0048</x:v>
      </x:c>
      <x:c r="B52" s="188" t="n">
        <x:f>'Raw Data'!B52</x:f>
        <x:v>45705</x:v>
      </x:c>
      <x:c r="C52" s="234" t="str">
        <x:f>'Raw Data'!C52</x:f>
        <x:v>West</x:v>
      </x:c>
      <x:c r="D52" s="187" t="str">
        <x:f>'Raw Data'!D52</x:f>
        <x:v>Nagpur</x:v>
      </x:c>
      <x:c r="E52" s="187" t="str">
        <x:f>'Raw Data'!E52</x:f>
        <x:v>Snacks</x:v>
      </x:c>
      <x:c r="F52" s="187" t="str">
        <x:f>'Raw Data'!F52</x:f>
        <x:v>New User</x:v>
      </x:c>
      <x:c r="G52" s="187" t="str">
        <x:f>'Raw Data'!G52</x:f>
        <x:v>New User Customer 58</x:v>
      </x:c>
      <x:c r="H52" s="187" t="n">
        <x:f>'Raw Data'!H52</x:f>
        <x:v>141</x:v>
      </x:c>
      <x:c r="I52" s="190" t="n">
        <x:f>'Raw Data'!I52</x:f>
        <x:v>236</x:v>
      </x:c>
      <x:c r="J52" s="191" t="n">
        <x:f>'Raw Data'!J52</x:f>
        <x:v>0.06</x:v>
      </x:c>
      <x:c r="K52" s="190" t="n">
        <x:f>'Raw Data'!K52</x:f>
        <x:v>33276</x:v>
      </x:c>
      <x:c r="L52" s="190" t="n">
        <x:f>'Raw Data'!L52</x:f>
        <x:v>31279.44</x:v>
      </x:c>
      <x:c r="M52" s="190" t="n">
        <x:f>'Raw Data'!M52</x:f>
        <x:v>23146.7856</x:v>
      </x:c>
      <x:c r="N52" s="190" t="n">
        <x:f>'Raw Data'!N52</x:f>
        <x:v>8132.654399999999</x:v>
      </x:c>
      <x:c r="O52" s="190" t="n">
        <x:f>'Raw Data'!O52</x:f>
        <x:v>4066.3272</x:v>
      </x:c>
      <x:c r="P52" s="190" t="n">
        <x:f>'Raw Data'!P52</x:f>
        <x:v>4066.3271999999993</x:v>
      </x:c>
      <x:c r="Q52" s="190" t="n">
        <x:f>'Raw Data'!Q52</x:f>
        <x:v>32743.267675069223</x:v>
      </x:c>
      <x:c r="R52" s="196" t="n">
        <x:f t="shared" si="0">IFERROR(N52/L52,0)</x:f>
        <x:v>0.26</x:v>
      </x:c>
      <x:c r="S52" s="196" t="n">
        <x:f t="shared" si="1">IFERROR(P52/L52,0)</x:f>
        <x:v>0.12999999999999998</x:v>
      </x:c>
      <x:c r="T52" s="196" t="n">
        <x:f t="shared" si="2">IFERROR(L52/Q52,0)</x:f>
        <x:v>0.9552937816226637</x:v>
      </x:c>
    </x:row>
    <x:row r="53" ht="15">
      <x:c r="A53" s="187" t="str">
        <x:f>'Raw Data'!A53</x:f>
        <x:v>ZOM-0049</x:v>
      </x:c>
      <x:c r="B53" s="188" t="n">
        <x:f>'Raw Data'!B53</x:f>
        <x:v>45706</x:v>
      </x:c>
      <x:c r="C53" s="234" t="str">
        <x:f>'Raw Data'!C53</x:f>
        <x:v>Metro</x:v>
      </x:c>
      <x:c r="D53" s="187" t="str">
        <x:f>'Raw Data'!D53</x:f>
        <x:v>Hyderabad</x:v>
      </x:c>
      <x:c r="E53" s="187" t="str">
        <x:f>'Raw Data'!E53</x:f>
        <x:v>Chinese</x:v>
      </x:c>
      <x:c r="F53" s="187" t="str">
        <x:f>'Raw Data'!F53</x:f>
        <x:v>Budget</x:v>
      </x:c>
      <x:c r="G53" s="187" t="str">
        <x:f>'Raw Data'!G53</x:f>
        <x:v>Budget Customer 22</x:v>
      </x:c>
      <x:c r="H53" s="187" t="n">
        <x:f>'Raw Data'!H53</x:f>
        <x:v>129</x:v>
      </x:c>
      <x:c r="I53" s="190" t="n">
        <x:f>'Raw Data'!I53</x:f>
        <x:v>531</x:v>
      </x:c>
      <x:c r="J53" s="191" t="n">
        <x:f>'Raw Data'!J53</x:f>
        <x:v>0.11</x:v>
      </x:c>
      <x:c r="K53" s="190" t="n">
        <x:f>'Raw Data'!K53</x:f>
        <x:v>68499</x:v>
      </x:c>
      <x:c r="L53" s="190" t="n">
        <x:f>'Raw Data'!L53</x:f>
        <x:v>60964.11</x:v>
      </x:c>
      <x:c r="M53" s="190" t="n">
        <x:f>'Raw Data'!M53</x:f>
        <x:v>45113.4414</x:v>
      </x:c>
      <x:c r="N53" s="190" t="n">
        <x:f>'Raw Data'!N53</x:f>
        <x:v>15850.668599999997</x:v>
      </x:c>
      <x:c r="O53" s="190" t="n">
        <x:f>'Raw Data'!O53</x:f>
        <x:v>7925.3343</x:v>
      </x:c>
      <x:c r="P53" s="190" t="n">
        <x:f>'Raw Data'!P53</x:f>
        <x:v>7925.334299999997</x:v>
      </x:c>
      <x:c r="Q53" s="190" t="n">
        <x:f>'Raw Data'!Q53</x:f>
        <x:v>61176.44667791542</x:v>
      </x:c>
      <x:c r="R53" s="196" t="n">
        <x:f t="shared" si="0">IFERROR(N53/L53,0)</x:f>
        <x:v>0.25999999999999995</x:v>
      </x:c>
      <x:c r="S53" s="196" t="n">
        <x:f t="shared" si="1">IFERROR(P53/L53,0)</x:f>
        <x:v>0.12999999999999995</x:v>
      </x:c>
      <x:c r="T53" s="196" t="n">
        <x:f t="shared" si="2">IFERROR(L53/Q53,0)</x:f>
        <x:v>0.9965291106390448</x:v>
      </x:c>
    </x:row>
    <x:row r="54" ht="15">
      <x:c r="A54" s="187" t="str">
        <x:f>'Raw Data'!A54</x:f>
        <x:v>ZOM-0050</x:v>
      </x:c>
      <x:c r="B54" s="188" t="n">
        <x:f>'Raw Data'!B54</x:f>
        <x:v>45707</x:v>
      </x:c>
      <x:c r="C54" s="234" t="str">
        <x:f>'Raw Data'!C54</x:f>
        <x:v>East</x:v>
      </x:c>
      <x:c r="D54" s="187" t="str">
        <x:f>'Raw Data'!D54</x:f>
        <x:v>Ranchi</x:v>
      </x:c>
      <x:c r="E54" s="187" t="str">
        <x:f>'Raw Data'!E54</x:f>
        <x:v>Desserts</x:v>
      </x:c>
      <x:c r="F54" s="187" t="str">
        <x:f>'Raw Data'!F54</x:f>
        <x:v>Student</x:v>
      </x:c>
      <x:c r="G54" s="187" t="str">
        <x:f>'Raw Data'!G54</x:f>
        <x:v>Student Customer 06</x:v>
      </x:c>
      <x:c r="H54" s="187" t="n">
        <x:f>'Raw Data'!H54</x:f>
        <x:v>57</x:v>
      </x:c>
      <x:c r="I54" s="190" t="n">
        <x:f>'Raw Data'!I54</x:f>
        <x:v>348</x:v>
      </x:c>
      <x:c r="J54" s="191" t="n">
        <x:f>'Raw Data'!J54</x:f>
        <x:v>0.09999999999999999</x:v>
      </x:c>
      <x:c r="K54" s="190" t="n">
        <x:f>'Raw Data'!K54</x:f>
        <x:v>19836</x:v>
      </x:c>
      <x:c r="L54" s="190" t="n">
        <x:f>'Raw Data'!L54</x:f>
        <x:v>17852.4</x:v>
      </x:c>
      <x:c r="M54" s="190" t="n">
        <x:f>'Raw Data'!M54</x:f>
        <x:v>12318.156</x:v>
      </x:c>
      <x:c r="N54" s="190" t="n">
        <x:f>'Raw Data'!N54</x:f>
        <x:v>5534.244000000001</x:v>
      </x:c>
      <x:c r="O54" s="190" t="n">
        <x:f>'Raw Data'!O54</x:f>
        <x:v>2320.8120000000004</x:v>
      </x:c>
      <x:c r="P54" s="190" t="n">
        <x:f>'Raw Data'!P54</x:f>
        <x:v>3213.4320000000002</x:v>
      </x:c>
      <x:c r="Q54" s="190" t="n">
        <x:f>'Raw Data'!Q54</x:f>
        <x:v>19272.736423073027</x:v>
      </x:c>
      <x:c r="R54" s="196" t="n">
        <x:f t="shared" si="0">IFERROR(N54/L54,0)</x:f>
        <x:v>0.31</x:v>
      </x:c>
      <x:c r="S54" s="196" t="n">
        <x:f t="shared" si="1">IFERROR(P54/L54,0)</x:f>
        <x:v>0.18</x:v>
      </x:c>
      <x:c r="T54" s="196" t="n">
        <x:f t="shared" si="2">IFERROR(L54/Q54,0)</x:f>
        <x:v>0.9263033337926719</x:v>
      </x:c>
    </x:row>
    <x:row r="55" ht="15">
      <x:c r="A55" s="187" t="str">
        <x:f>'Raw Data'!A55</x:f>
        <x:v>ZOM-0051</x:v>
      </x:c>
      <x:c r="B55" s="188" t="n">
        <x:f>'Raw Data'!B55</x:f>
        <x:v>45708</x:v>
      </x:c>
      <x:c r="C55" s="234" t="str">
        <x:f>'Raw Data'!C55</x:f>
        <x:v>East</x:v>
      </x:c>
      <x:c r="D55" s="187" t="str">
        <x:f>'Raw Data'!D55</x:f>
        <x:v>Bhubaneswar</x:v>
      </x:c>
      <x:c r="E55" s="187" t="str">
        <x:f>'Raw Data'!E55</x:f>
        <x:v>Beverages</x:v>
      </x:c>
      <x:c r="F55" s="187" t="str">
        <x:f>'Raw Data'!F55</x:f>
        <x:v>Repeat User</x:v>
      </x:c>
      <x:c r="G55" s="187" t="str">
        <x:f>'Raw Data'!G55</x:f>
        <x:v>Repeat User Customer 18</x:v>
      </x:c>
      <x:c r="H55" s="187" t="n">
        <x:f>'Raw Data'!H55</x:f>
        <x:v>89</x:v>
      </x:c>
      <x:c r="I55" s="190" t="n">
        <x:f>'Raw Data'!I55</x:f>
        <x:v>216</x:v>
      </x:c>
      <x:c r="J55" s="191" t="n">
        <x:f>'Raw Data'!J55</x:f>
        <x:v>0.05</x:v>
      </x:c>
      <x:c r="K55" s="190" t="n">
        <x:f>'Raw Data'!K55</x:f>
        <x:v>19224</x:v>
      </x:c>
      <x:c r="L55" s="190" t="n">
        <x:f>'Raw Data'!L55</x:f>
        <x:v>18262.8</x:v>
      </x:c>
      <x:c r="M55" s="190" t="n">
        <x:f>'Raw Data'!M55</x:f>
        <x:v>12418.703999999998</x:v>
      </x:c>
      <x:c r="N55" s="190" t="n">
        <x:f>'Raw Data'!N55</x:f>
        <x:v>5844.096000000001</x:v>
      </x:c>
      <x:c r="O55" s="190" t="n">
        <x:f>'Raw Data'!O55</x:f>
        <x:v>2374.1639999999998</x:v>
      </x:c>
      <x:c r="P55" s="190" t="n">
        <x:f>'Raw Data'!P55</x:f>
        <x:v>3469.9320000000016</x:v>
      </x:c>
      <x:c r="Q55" s="190" t="n">
        <x:f>'Raw Data'!Q55</x:f>
        <x:v>20190.56269636265</x:v>
      </x:c>
      <x:c r="R55" s="196" t="n">
        <x:f t="shared" si="0">IFERROR(N55/L55,0)</x:f>
        <x:v>0.32000000000000006</x:v>
      </x:c>
      <x:c r="S55" s="196" t="n">
        <x:f t="shared" si="1">IFERROR(P55/L55,0)</x:f>
        <x:v>0.19000000000000009</x:v>
      </x:c>
      <x:c r="T55" s="196" t="n">
        <x:f t="shared" si="2">IFERROR(L55/Q55,0)</x:f>
        <x:v>0.9045215962846871</x:v>
      </x:c>
    </x:row>
    <x:row r="56" ht="15">
      <x:c r="A56" s="187" t="str">
        <x:f>'Raw Data'!A56</x:f>
        <x:v>ZOM-0052</x:v>
      </x:c>
      <x:c r="B56" s="188" t="n">
        <x:f>'Raw Data'!B56</x:f>
        <x:v>45709</x:v>
      </x:c>
      <x:c r="C56" s="234" t="str">
        <x:f>'Raw Data'!C56</x:f>
        <x:v>Central</x:v>
      </x:c>
      <x:c r="D56" s="187" t="str">
        <x:f>'Raw Data'!D56</x:f>
        <x:v>Kanpur</x:v>
      </x:c>
      <x:c r="E56" s="187" t="str">
        <x:f>'Raw Data'!E56</x:f>
        <x:v>Biryani</x:v>
      </x:c>
      <x:c r="F56" s="187" t="str">
        <x:f>'Raw Data'!F56</x:f>
        <x:v>New User</x:v>
      </x:c>
      <x:c r="G56" s="187" t="str">
        <x:f>'Raw Data'!G56</x:f>
        <x:v>New User Customer 50</x:v>
      </x:c>
      <x:c r="H56" s="187" t="n">
        <x:f>'Raw Data'!H56</x:f>
        <x:v>56</x:v>
      </x:c>
      <x:c r="I56" s="190" t="n">
        <x:f>'Raw Data'!I56</x:f>
        <x:v>525</x:v>
      </x:c>
      <x:c r="J56" s="191" t="n">
        <x:f>'Raw Data'!J56</x:f>
        <x:v>0.06</x:v>
      </x:c>
      <x:c r="K56" s="190" t="n">
        <x:f>'Raw Data'!K56</x:f>
        <x:v>29400</x:v>
      </x:c>
      <x:c r="L56" s="190" t="n">
        <x:f>'Raw Data'!L56</x:f>
        <x:v>27636</x:v>
      </x:c>
      <x:c r="M56" s="190" t="n">
        <x:f>'Raw Data'!M56</x:f>
        <x:v>20450.64</x:v>
      </x:c>
      <x:c r="N56" s="190" t="n">
        <x:f>'Raw Data'!N56</x:f>
        <x:v>7185.360000000001</x:v>
      </x:c>
      <x:c r="O56" s="190" t="n">
        <x:f>'Raw Data'!O56</x:f>
        <x:v>3592.6800000000003</x:v>
      </x:c>
      <x:c r="P56" s="190" t="n">
        <x:f>'Raw Data'!P56</x:f>
        <x:v>3592.6800000000003</x:v>
      </x:c>
      <x:c r="Q56" s="190" t="n">
        <x:f>'Raw Data'!Q56</x:f>
        <x:v>29792.085859326427</x:v>
      </x:c>
      <x:c r="R56" s="196" t="n">
        <x:f t="shared" si="0">IFERROR(N56/L56,0)</x:f>
        <x:v>0.26</x:v>
      </x:c>
      <x:c r="S56" s="196" t="n">
        <x:f t="shared" si="1">IFERROR(P56/L56,0)</x:f>
        <x:v>0.13</x:v>
      </x:c>
      <x:c r="T56" s="196" t="n">
        <x:f t="shared" si="2">IFERROR(L56/Q56,0)</x:f>
        <x:v>0.927628905558774</x:v>
      </x:c>
    </x:row>
    <x:row r="57" ht="15">
      <x:c r="A57" s="187" t="str">
        <x:f>'Raw Data'!A57</x:f>
        <x:v>ZOM-0053</x:v>
      </x:c>
      <x:c r="B57" s="188" t="n">
        <x:f>'Raw Data'!B57</x:f>
        <x:v>45710</x:v>
      </x:c>
      <x:c r="C57" s="234" t="str">
        <x:f>'Raw Data'!C57</x:f>
        <x:v>Metro</x:v>
      </x:c>
      <x:c r="D57" s="187" t="str">
        <x:f>'Raw Data'!D57</x:f>
        <x:v>Delhi</x:v>
      </x:c>
      <x:c r="E57" s="187" t="str">
        <x:f>'Raw Data'!E57</x:f>
        <x:v>Desserts</x:v>
      </x:c>
      <x:c r="F57" s="187" t="str">
        <x:f>'Raw Data'!F57</x:f>
        <x:v>Student</x:v>
      </x:c>
      <x:c r="G57" s="187" t="str">
        <x:f>'Raw Data'!G57</x:f>
        <x:v>Student Customer 14</x:v>
      </x:c>
      <x:c r="H57" s="187" t="n">
        <x:f>'Raw Data'!H57</x:f>
        <x:v>80</x:v>
      </x:c>
      <x:c r="I57" s="190" t="n">
        <x:f>'Raw Data'!I57</x:f>
        <x:v>331</x:v>
      </x:c>
      <x:c r="J57" s="191" t="n">
        <x:f>'Raw Data'!J57</x:f>
        <x:v>0.12</x:v>
      </x:c>
      <x:c r="K57" s="190" t="n">
        <x:f>'Raw Data'!K57</x:f>
        <x:v>26480</x:v>
      </x:c>
      <x:c r="L57" s="190" t="n">
        <x:f>'Raw Data'!L57</x:f>
        <x:v>23302.4</x:v>
      </x:c>
      <x:c r="M57" s="190" t="n">
        <x:f>'Raw Data'!M57</x:f>
        <x:v>16078.655999999999</x:v>
      </x:c>
      <x:c r="N57" s="190" t="n">
        <x:f>'Raw Data'!N57</x:f>
        <x:v>7223.744000000002</x:v>
      </x:c>
      <x:c r="O57" s="190" t="n">
        <x:f>'Raw Data'!O57</x:f>
        <x:v>3029.3120000000004</x:v>
      </x:c>
      <x:c r="P57" s="190" t="n">
        <x:f>'Raw Data'!P57</x:f>
        <x:v>4194.4320000000025</x:v>
      </x:c>
      <x:c r="Q57" s="190" t="n">
        <x:f>'Raw Data'!Q57</x:f>
        <x:v>23622.265835482103</x:v>
      </x:c>
      <x:c r="R57" s="196" t="n">
        <x:f t="shared" si="0">IFERROR(N57/L57,0)</x:f>
        <x:v>0.3100000000000001</x:v>
      </x:c>
      <x:c r="S57" s="196" t="n">
        <x:f t="shared" si="1">IFERROR(P57/L57,0)</x:f>
        <x:v>0.1800000000000001</x:v>
      </x:c>
      <x:c r="T57" s="196" t="n">
        <x:f t="shared" si="2">IFERROR(L57/Q57,0)</x:f>
        <x:v>0.9864591382676914</x:v>
      </x:c>
    </x:row>
    <x:row r="58" ht="15">
      <x:c r="A58" s="187" t="str">
        <x:f>'Raw Data'!A58</x:f>
        <x:v>ZOM-0054</x:v>
      </x:c>
      <x:c r="B58" s="188" t="n">
        <x:f>'Raw Data'!B58</x:f>
        <x:v>45711</x:v>
      </x:c>
      <x:c r="C58" s="234" t="str">
        <x:f>'Raw Data'!C58</x:f>
        <x:v>West</x:v>
      </x:c>
      <x:c r="D58" s="187" t="str">
        <x:f>'Raw Data'!D58</x:f>
        <x:v>Ahmedabad</x:v>
      </x:c>
      <x:c r="E58" s="187" t="str">
        <x:f>'Raw Data'!E58</x:f>
        <x:v>Desserts</x:v>
      </x:c>
      <x:c r="F58" s="187" t="str">
        <x:f>'Raw Data'!F58</x:f>
        <x:v>New User</x:v>
      </x:c>
      <x:c r="G58" s="187" t="str">
        <x:f>'Raw Data'!G58</x:f>
        <x:v>New User Customer 38</x:v>
      </x:c>
      <x:c r="H58" s="187" t="n">
        <x:f>'Raw Data'!H58</x:f>
        <x:v>145</x:v>
      </x:c>
      <x:c r="I58" s="190" t="n">
        <x:f>'Raw Data'!I58</x:f>
        <x:v>346</x:v>
      </x:c>
      <x:c r="J58" s="191" t="n">
        <x:f>'Raw Data'!J58</x:f>
        <x:v>0.06</x:v>
      </x:c>
      <x:c r="K58" s="190" t="n">
        <x:f>'Raw Data'!K58</x:f>
        <x:v>50170</x:v>
      </x:c>
      <x:c r="L58" s="190" t="n">
        <x:f>'Raw Data'!L58</x:f>
        <x:v>47159.799999999996</x:v>
      </x:c>
      <x:c r="M58" s="190" t="n">
        <x:f>'Raw Data'!M58</x:f>
        <x:v>32540.261999999995</x:v>
      </x:c>
      <x:c r="N58" s="190" t="n">
        <x:f>'Raw Data'!N58</x:f>
        <x:v>14619.538</x:v>
      </x:c>
      <x:c r="O58" s="190" t="n">
        <x:f>'Raw Data'!O58</x:f>
        <x:v>6130.773999999999</x:v>
      </x:c>
      <x:c r="P58" s="190" t="n">
        <x:f>'Raw Data'!P58</x:f>
        <x:v>8488.764000000001</x:v>
      </x:c>
      <x:c r="Q58" s="190" t="n">
        <x:f>'Raw Data'!Q58</x:f>
        <x:v>48920.023988858324</x:v>
      </x:c>
      <x:c r="R58" s="196" t="n">
        <x:f t="shared" si="0">IFERROR(N58/L58,0)</x:f>
        <x:v>0.31000000000000005</x:v>
      </x:c>
      <x:c r="S58" s="196" t="n">
        <x:f t="shared" si="1">IFERROR(P58/L58,0)</x:f>
        <x:v>0.18000000000000005</x:v>
      </x:c>
      <x:c r="T58" s="196" t="n">
        <x:f t="shared" si="2">IFERROR(L58/Q58,0)</x:f>
        <x:v>0.9640183334893861</x:v>
      </x:c>
    </x:row>
    <x:row r="59" ht="15">
      <x:c r="A59" s="187" t="str">
        <x:f>'Raw Data'!A59</x:f>
        <x:v>ZOM-0055</x:v>
      </x:c>
      <x:c r="B59" s="188" t="n">
        <x:f>'Raw Data'!B59</x:f>
        <x:v>45712</x:v>
      </x:c>
      <x:c r="C59" s="234" t="str">
        <x:f>'Raw Data'!C59</x:f>
        <x:v>North</x:v>
      </x:c>
      <x:c r="D59" s="187" t="str">
        <x:f>'Raw Data'!D59</x:f>
        <x:v>Gurugram</x:v>
      </x:c>
      <x:c r="E59" s="187" t="str">
        <x:f>'Raw Data'!E59</x:f>
        <x:v>Chinese</x:v>
      </x:c>
      <x:c r="F59" s="187" t="str">
        <x:f>'Raw Data'!F59</x:f>
        <x:v>Student</x:v>
      </x:c>
      <x:c r="G59" s="187" t="str">
        <x:f>'Raw Data'!G59</x:f>
        <x:v>Student Customer 07</x:v>
      </x:c>
      <x:c r="H59" s="187" t="n">
        <x:f>'Raw Data'!H59</x:f>
        <x:v>87</x:v>
      </x:c>
      <x:c r="I59" s="190" t="n">
        <x:f>'Raw Data'!I59</x:f>
        <x:v>436</x:v>
      </x:c>
      <x:c r="J59" s="191" t="n">
        <x:f>'Raw Data'!J59</x:f>
        <x:v>0.12</x:v>
      </x:c>
      <x:c r="K59" s="190" t="n">
        <x:f>'Raw Data'!K59</x:f>
        <x:v>37932</x:v>
      </x:c>
      <x:c r="L59" s="190" t="n">
        <x:f>'Raw Data'!L59</x:f>
        <x:v>33380.16</x:v>
      </x:c>
      <x:c r="M59" s="190" t="n">
        <x:f>'Raw Data'!M59</x:f>
        <x:v>24701.318400000004</x:v>
      </x:c>
      <x:c r="N59" s="190" t="n">
        <x:f>'Raw Data'!N59</x:f>
        <x:v>8678.8416</x:v>
      </x:c>
      <x:c r="O59" s="190" t="n">
        <x:f>'Raw Data'!O59</x:f>
        <x:v>4339.420800000001</x:v>
      </x:c>
      <x:c r="P59" s="190" t="n">
        <x:f>'Raw Data'!P59</x:f>
        <x:v>4339.420799999999</x:v>
      </x:c>
      <x:c r="Q59" s="190" t="n">
        <x:f>'Raw Data'!Q59</x:f>
        <x:v>35892.65418287354</x:v>
      </x:c>
      <x:c r="R59" s="196" t="n">
        <x:f t="shared" si="0">IFERROR(N59/L59,0)</x:f>
        <x:v>0.25999999999999995</x:v>
      </x:c>
      <x:c r="S59" s="196" t="n">
        <x:f t="shared" si="1">IFERROR(P59/L59,0)</x:f>
        <x:v>0.12999999999999995</x:v>
      </x:c>
      <x:c r="T59" s="196" t="n">
        <x:f t="shared" si="2">IFERROR(L59/Q59,0)</x:f>
        <x:v>0.9299997662454176</x:v>
      </x:c>
    </x:row>
    <x:row r="60" ht="15">
      <x:c r="A60" s="187" t="str">
        <x:f>'Raw Data'!A60</x:f>
        <x:v>ZOM-0056</x:v>
      </x:c>
      <x:c r="B60" s="188" t="n">
        <x:f>'Raw Data'!B60</x:f>
        <x:v>45713</x:v>
      </x:c>
      <x:c r="C60" s="234" t="str">
        <x:f>'Raw Data'!C60</x:f>
        <x:v>East</x:v>
      </x:c>
      <x:c r="D60" s="187" t="str">
        <x:f>'Raw Data'!D60</x:f>
        <x:v>Patna</x:v>
      </x:c>
      <x:c r="E60" s="187" t="str">
        <x:f>'Raw Data'!E60</x:f>
        <x:v>Healthy</x:v>
      </x:c>
      <x:c r="F60" s="187" t="str">
        <x:f>'Raw Data'!F60</x:f>
        <x:v>Corporate</x:v>
      </x:c>
      <x:c r="G60" s="187" t="str">
        <x:f>'Raw Data'!G60</x:f>
        <x:v>Corporate Customer 33</x:v>
      </x:c>
      <x:c r="H60" s="187" t="n">
        <x:f>'Raw Data'!H60</x:f>
        <x:v>84</x:v>
      </x:c>
      <x:c r="I60" s="190" t="n">
        <x:f>'Raw Data'!I60</x:f>
        <x:v>453</x:v>
      </x:c>
      <x:c r="J60" s="191" t="n">
        <x:f>'Raw Data'!J60</x:f>
        <x:v>0</x:v>
      </x:c>
      <x:c r="K60" s="190" t="n">
        <x:f>'Raw Data'!K60</x:f>
        <x:v>38052</x:v>
      </x:c>
      <x:c r="L60" s="190" t="n">
        <x:f>'Raw Data'!L60</x:f>
        <x:v>38052</x:v>
      </x:c>
      <x:c r="M60" s="190" t="n">
        <x:f>'Raw Data'!M60</x:f>
        <x:v>26636.399999999998</x:v>
      </x:c>
      <x:c r="N60" s="190" t="n">
        <x:f>'Raw Data'!N60</x:f>
        <x:v>11415.600000000002</x:v>
      </x:c>
      <x:c r="O60" s="190" t="n">
        <x:f>'Raw Data'!O60</x:f>
        <x:v>4946.76</x:v>
      </x:c>
      <x:c r="P60" s="190" t="n">
        <x:f>'Raw Data'!P60</x:f>
        <x:v>6468.840000000002</x:v>
      </x:c>
      <x:c r="Q60" s="190" t="n">
        <x:f>'Raw Data'!Q60</x:f>
        <x:v>39744.11555782194</x:v>
      </x:c>
      <x:c r="R60" s="196" t="n">
        <x:f t="shared" si="0">IFERROR(N60/L60,0)</x:f>
        <x:v>0.30000000000000004</x:v>
      </x:c>
      <x:c r="S60" s="196" t="n">
        <x:f t="shared" si="1">IFERROR(P60/L60,0)</x:f>
        <x:v>0.17000000000000004</x:v>
      </x:c>
      <x:c r="T60" s="196" t="n">
        <x:f t="shared" si="2">IFERROR(L60/Q60,0)</x:f>
        <x:v>0.9574247524678173</x:v>
      </x:c>
    </x:row>
    <x:row r="61">
      <x:c r="A61" s="192" t="str">
        <x:f>'Raw Data'!A61</x:f>
        <x:v>ZOM-0057</x:v>
      </x:c>
      <x:c r="B61" s="193" t="n">
        <x:f>'Raw Data'!B61</x:f>
        <x:v>45714</x:v>
      </x:c>
      <x:c r="C61" s="236" t="str">
        <x:f>'Raw Data'!C61</x:f>
        <x:v>East</x:v>
      </x:c>
      <x:c r="D61" s="192" t="str">
        <x:f>'Raw Data'!D61</x:f>
        <x:v>Kolkata</x:v>
      </x:c>
      <x:c r="E61" s="192" t="str">
        <x:f>'Raw Data'!E61</x:f>
        <x:v>Healthy</x:v>
      </x:c>
      <x:c r="F61" s="192" t="str">
        <x:f>'Raw Data'!F61</x:f>
        <x:v>Budget</x:v>
      </x:c>
      <x:c r="G61" s="192" t="str">
        <x:f>'Raw Data'!G61</x:f>
        <x:v>Budget Customer 28</x:v>
      </x:c>
      <x:c r="H61" s="192" t="n">
        <x:f>'Raw Data'!H61</x:f>
        <x:v>58</x:v>
      </x:c>
      <x:c r="I61" s="195" t="n">
        <x:f>'Raw Data'!I61</x:f>
        <x:v>393</x:v>
      </x:c>
      <x:c r="J61" s="196" t="n">
        <x:f>'Raw Data'!J61</x:f>
        <x:v>0.1</x:v>
      </x:c>
      <x:c r="K61" s="195" t="n">
        <x:f>'Raw Data'!K61</x:f>
        <x:v>22794</x:v>
      </x:c>
      <x:c r="L61" s="195" t="n">
        <x:f>'Raw Data'!L61</x:f>
        <x:v>20514.600000000002</x:v>
      </x:c>
      <x:c r="M61" s="195" t="n">
        <x:f>'Raw Data'!M61</x:f>
        <x:v>14360.220000000001</x:v>
      </x:c>
      <x:c r="N61" s="195" t="n">
        <x:f>'Raw Data'!N61</x:f>
        <x:v>6154.380000000001</x:v>
      </x:c>
      <x:c r="O61" s="195" t="n">
        <x:f>'Raw Data'!O61</x:f>
        <x:v>2666.8980000000006</x:v>
      </x:c>
      <x:c r="P61" s="195" t="n">
        <x:f>'Raw Data'!P61</x:f>
        <x:v>3487.4820000000004</x:v>
      </x:c>
      <x:c r="Q61" s="195" t="n">
        <x:f>'Raw Data'!Q61</x:f>
        <x:v>22255.818468260728</x:v>
      </x:c>
      <x:c r="R61" s="196" t="n">
        <x:f t="shared" si="0">IFERROR(N61/L61,0)</x:f>
        <x:v>0.30000000000000004</x:v>
      </x:c>
      <x:c r="S61" s="196" t="n">
        <x:f t="shared" si="1">IFERROR(P61/L61,0)</x:f>
        <x:v>0.17</x:v>
      </x:c>
      <x:c r="T61" s="196" t="n">
        <x:f t="shared" si="2">IFERROR(L61/Q61,0)</x:f>
        <x:v>0.9217634493764453</x:v>
      </x:c>
    </x:row>
    <x:row r="62">
      <x:c r="A62" s="192" t="str">
        <x:f>'Raw Data'!A62</x:f>
        <x:v>ZOM-0058</x:v>
      </x:c>
      <x:c r="B62" s="193" t="n">
        <x:f>'Raw Data'!B62</x:f>
        <x:v>45715</x:v>
      </x:c>
      <x:c r="C62" s="236" t="str">
        <x:f>'Raw Data'!C62</x:f>
        <x:v>North</x:v>
      </x:c>
      <x:c r="D62" s="192" t="str">
        <x:f>'Raw Data'!D62</x:f>
        <x:v>Lucknow</x:v>
      </x:c>
      <x:c r="E62" s="192" t="str">
        <x:f>'Raw Data'!E62</x:f>
        <x:v>Snacks</x:v>
      </x:c>
      <x:c r="F62" s="192" t="str">
        <x:f>'Raw Data'!F62</x:f>
        <x:v>Repeat User</x:v>
      </x:c>
      <x:c r="G62" s="192" t="str">
        <x:f>'Raw Data'!G62</x:f>
        <x:v>Repeat User Customer 55</x:v>
      </x:c>
      <x:c r="H62" s="192" t="n">
        <x:f>'Raw Data'!H62</x:f>
        <x:v>132</x:v>
      </x:c>
      <x:c r="I62" s="195" t="n">
        <x:f>'Raw Data'!I62</x:f>
        <x:v>277</x:v>
      </x:c>
      <x:c r="J62" s="196" t="n">
        <x:f>'Raw Data'!J62</x:f>
        <x:v>0.060000000000000005</x:v>
      </x:c>
      <x:c r="K62" s="195" t="n">
        <x:f>'Raw Data'!K62</x:f>
        <x:v>36564</x:v>
      </x:c>
      <x:c r="L62" s="195" t="n">
        <x:f>'Raw Data'!L62</x:f>
        <x:v>34370.159999999996</x:v>
      </x:c>
      <x:c r="M62" s="195" t="n">
        <x:f>'Raw Data'!M62</x:f>
        <x:v>25433.9184</x:v>
      </x:c>
      <x:c r="N62" s="195" t="n">
        <x:f>'Raw Data'!N62</x:f>
        <x:v>8936.241599999998</x:v>
      </x:c>
      <x:c r="O62" s="195" t="n">
        <x:f>'Raw Data'!O62</x:f>
        <x:v>4468.1208</x:v>
      </x:c>
      <x:c r="P62" s="195" t="n">
        <x:f>'Raw Data'!P62</x:f>
        <x:v>4468.120799999998</x:v>
      </x:c>
      <x:c r="Q62" s="195" t="n">
        <x:f>'Raw Data'!Q62</x:f>
        <x:v>35477.135710324554</x:v>
      </x:c>
      <x:c r="R62" s="196" t="n">
        <x:f t="shared" si="0">IFERROR(N62/L62,0)</x:f>
        <x:v>0.25999999999999995</x:v>
      </x:c>
      <x:c r="S62" s="196" t="n">
        <x:f t="shared" si="1">IFERROR(P62/L62,0)</x:f>
        <x:v>0.12999999999999995</x:v>
      </x:c>
      <x:c r="T62" s="196" t="n">
        <x:f t="shared" si="2">IFERROR(L62/Q62,0)</x:f>
        <x:v>0.9687974891952057</x:v>
      </x:c>
    </x:row>
    <x:row r="63">
      <x:c r="A63" s="192" t="str">
        <x:f>'Raw Data'!A63</x:f>
        <x:v>ZOM-0059</x:v>
      </x:c>
      <x:c r="B63" s="193" t="n">
        <x:f>'Raw Data'!B63</x:f>
        <x:v>45716</x:v>
      </x:c>
      <x:c r="C63" s="236" t="str">
        <x:f>'Raw Data'!C63</x:f>
        <x:v>South</x:v>
      </x:c>
      <x:c r="D63" s="192" t="str">
        <x:f>'Raw Data'!D63</x:f>
        <x:v>Bengaluru</x:v>
      </x:c>
      <x:c r="E63" s="192" t="str">
        <x:f>'Raw Data'!E63</x:f>
        <x:v>Pizza</x:v>
      </x:c>
      <x:c r="F63" s="192" t="str">
        <x:f>'Raw Data'!F63</x:f>
        <x:v>Gold User</x:v>
      </x:c>
      <x:c r="G63" s="192" t="str">
        <x:f>'Raw Data'!G63</x:f>
        <x:v>Gold User Customer 32</x:v>
      </x:c>
      <x:c r="H63" s="192" t="n">
        <x:f>'Raw Data'!H63</x:f>
        <x:v>145</x:v>
      </x:c>
      <x:c r="I63" s="195" t="n">
        <x:f>'Raw Data'!I63</x:f>
        <x:v>660</x:v>
      </x:c>
      <x:c r="J63" s="196" t="n">
        <x:f>'Raw Data'!J63</x:f>
        <x:v>0.04</x:v>
      </x:c>
      <x:c r="K63" s="195" t="n">
        <x:f>'Raw Data'!K63</x:f>
        <x:v>95700</x:v>
      </x:c>
      <x:c r="L63" s="195" t="n">
        <x:f>'Raw Data'!L63</x:f>
        <x:v>91872</x:v>
      </x:c>
      <x:c r="M63" s="195" t="n">
        <x:f>'Raw Data'!M63</x:f>
        <x:v>67985.28</x:v>
      </x:c>
      <x:c r="N63" s="195" t="n">
        <x:f>'Raw Data'!N63</x:f>
        <x:v>23886.72</x:v>
      </x:c>
      <x:c r="O63" s="195" t="n">
        <x:f>'Raw Data'!O63</x:f>
        <x:v>11943.36</x:v>
      </x:c>
      <x:c r="P63" s="195" t="n">
        <x:f>'Raw Data'!P63</x:f>
        <x:v>11943.36</x:v>
      </x:c>
      <x:c r="Q63" s="195" t="n">
        <x:f>'Raw Data'!Q63</x:f>
        <x:v>95455.16419587313</x:v>
      </x:c>
      <x:c r="R63" s="196" t="n">
        <x:f t="shared" si="0">IFERROR(N63/L63,0)</x:f>
        <x:v>0.26</x:v>
      </x:c>
      <x:c r="S63" s="196" t="n">
        <x:f t="shared" si="1">IFERROR(P63/L63,0)</x:f>
        <x:v>0.13</x:v>
      </x:c>
      <x:c r="T63" s="196" t="n">
        <x:f t="shared" si="2">IFERROR(L63/Q63,0)</x:f>
        <x:v>0.9624623326976788</x:v>
      </x:c>
    </x:row>
    <x:row r="64">
      <x:c r="A64" s="192" t="str">
        <x:f>'Raw Data'!A64</x:f>
        <x:v>ZOM-0060</x:v>
      </x:c>
      <x:c r="B64" s="193" t="n">
        <x:f>'Raw Data'!B64</x:f>
        <x:v>45717</x:v>
      </x:c>
      <x:c r="C64" s="236" t="str">
        <x:f>'Raw Data'!C64</x:f>
        <x:v>South</x:v>
      </x:c>
      <x:c r="D64" s="192" t="str">
        <x:f>'Raw Data'!D64</x:f>
        <x:v>Chennai</x:v>
      </x:c>
      <x:c r="E64" s="192" t="str">
        <x:f>'Raw Data'!E64</x:f>
        <x:v>Pizza</x:v>
      </x:c>
      <x:c r="F64" s="192" t="str">
        <x:f>'Raw Data'!F64</x:f>
        <x:v>Student</x:v>
      </x:c>
      <x:c r="G64" s="192" t="str">
        <x:f>'Raw Data'!G64</x:f>
        <x:v>Student Customer 49</x:v>
      </x:c>
      <x:c r="H64" s="192" t="n">
        <x:f>'Raw Data'!H64</x:f>
        <x:v>87</x:v>
      </x:c>
      <x:c r="I64" s="195" t="n">
        <x:f>'Raw Data'!I64</x:f>
        <x:v>657</x:v>
      </x:c>
      <x:c r="J64" s="196" t="n">
        <x:f>'Raw Data'!J64</x:f>
        <x:v>0.12</x:v>
      </x:c>
      <x:c r="K64" s="195" t="n">
        <x:f>'Raw Data'!K64</x:f>
        <x:v>57159</x:v>
      </x:c>
      <x:c r="L64" s="195" t="n">
        <x:f>'Raw Data'!L64</x:f>
        <x:v>50299.92</x:v>
      </x:c>
      <x:c r="M64" s="195" t="n">
        <x:f>'Raw Data'!M64</x:f>
        <x:v>37221.9408</x:v>
      </x:c>
      <x:c r="N64" s="195" t="n">
        <x:f>'Raw Data'!N64</x:f>
        <x:v>13077.979200000002</x:v>
      </x:c>
      <x:c r="O64" s="195" t="n">
        <x:f>'Raw Data'!O64</x:f>
        <x:v>6538.9896</x:v>
      </x:c>
      <x:c r="P64" s="195" t="n">
        <x:f>'Raw Data'!P64</x:f>
        <x:v>6538.989600000002</x:v>
      </x:c>
      <x:c r="Q64" s="195" t="n">
        <x:f>'Raw Data'!Q64</x:f>
        <x:v>53248.971193231955</x:v>
      </x:c>
      <x:c r="R64" s="196" t="n">
        <x:f t="shared" si="0">IFERROR(N64/L64,0)</x:f>
        <x:v>0.26000000000000006</x:v>
      </x:c>
      <x:c r="S64" s="196" t="n">
        <x:f t="shared" si="1">IFERROR(P64/L64,0)</x:f>
        <x:v>0.13000000000000003</x:v>
      </x:c>
      <x:c r="T64" s="196" t="n">
        <x:f t="shared" si="2">IFERROR(L64/Q64,0)</x:f>
        <x:v>0.9446176869308831</x:v>
      </x:c>
    </x:row>
    <x:row r="65">
      <x:c r="A65" s="192" t="str">
        <x:f>'Raw Data'!A65</x:f>
        <x:v>ZOM-0061</x:v>
      </x:c>
      <x:c r="B65" s="193" t="n">
        <x:f>'Raw Data'!B65</x:f>
        <x:v>45718</x:v>
      </x:c>
      <x:c r="C65" s="236" t="str">
        <x:f>'Raw Data'!C65</x:f>
        <x:v>South</x:v>
      </x:c>
      <x:c r="D65" s="192" t="str">
        <x:f>'Raw Data'!D65</x:f>
        <x:v>Kochi</x:v>
      </x:c>
      <x:c r="E65" s="192" t="str">
        <x:f>'Raw Data'!E65</x:f>
        <x:v>Burgers</x:v>
      </x:c>
      <x:c r="F65" s="192" t="str">
        <x:f>'Raw Data'!F65</x:f>
        <x:v>Gold User</x:v>
      </x:c>
      <x:c r="G65" s="192" t="str">
        <x:f>'Raw Data'!G65</x:f>
        <x:v>Gold User Customer 24</x:v>
      </x:c>
      <x:c r="H65" s="192" t="n">
        <x:f>'Raw Data'!H65</x:f>
        <x:v>86</x:v>
      </x:c>
      <x:c r="I65" s="195" t="n">
        <x:f>'Raw Data'!I65</x:f>
        <x:v>353</x:v>
      </x:c>
      <x:c r="J65" s="196" t="n">
        <x:f>'Raw Data'!J65</x:f>
        <x:v>0.03</x:v>
      </x:c>
      <x:c r="K65" s="195" t="n">
        <x:f>'Raw Data'!K65</x:f>
        <x:v>30358</x:v>
      </x:c>
      <x:c r="L65" s="195" t="n">
        <x:f>'Raw Data'!L65</x:f>
        <x:v>29447.26</x:v>
      </x:c>
      <x:c r="M65" s="195" t="n">
        <x:f>'Raw Data'!M65</x:f>
        <x:v>21790.9724</x:v>
      </x:c>
      <x:c r="N65" s="195" t="n">
        <x:f>'Raw Data'!N65</x:f>
        <x:v>7656.2876</x:v>
      </x:c>
      <x:c r="O65" s="195" t="n">
        <x:f>'Raw Data'!O65</x:f>
        <x:v>3828.1438</x:v>
      </x:c>
      <x:c r="P65" s="195" t="n">
        <x:f>'Raw Data'!P65</x:f>
        <x:v>3828.1438</x:v>
      </x:c>
      <x:c r="Q65" s="195" t="n">
        <x:f>'Raw Data'!Q65</x:f>
        <x:v>31793.47640626805</x:v>
      </x:c>
      <x:c r="R65" s="196" t="n">
        <x:f t="shared" si="0">IFERROR(N65/L65,0)</x:f>
        <x:v>0.26</x:v>
      </x:c>
      <x:c r="S65" s="196" t="n">
        <x:f t="shared" si="1">IFERROR(P65/L65,0)</x:f>
        <x:v>0.13</x:v>
      </x:c>
      <x:c r="T65" s="196" t="n">
        <x:f t="shared" si="2">IFERROR(L65/Q65,0)</x:f>
        <x:v>0.9262044711220854</x:v>
      </x:c>
    </x:row>
    <x:row r="66">
      <x:c r="A66" s="192" t="str">
        <x:f>'Raw Data'!A66</x:f>
        <x:v>ZOM-0062</x:v>
      </x:c>
      <x:c r="B66" s="193" t="n">
        <x:f>'Raw Data'!B66</x:f>
        <x:v>45719</x:v>
      </x:c>
      <x:c r="C66" s="236" t="str">
        <x:f>'Raw Data'!C66</x:f>
        <x:v>West</x:v>
      </x:c>
      <x:c r="D66" s="192" t="str">
        <x:f>'Raw Data'!D66</x:f>
        <x:v>Nagpur</x:v>
      </x:c>
      <x:c r="E66" s="192" t="str">
        <x:f>'Raw Data'!E66</x:f>
        <x:v>Pizza</x:v>
      </x:c>
      <x:c r="F66" s="192" t="str">
        <x:f>'Raw Data'!F66</x:f>
        <x:v>Student</x:v>
      </x:c>
      <x:c r="G66" s="192" t="str">
        <x:f>'Raw Data'!G66</x:f>
        <x:v>Student Customer 13</x:v>
      </x:c>
      <x:c r="H66" s="192" t="n">
        <x:f>'Raw Data'!H66</x:f>
        <x:v>120</x:v>
      </x:c>
      <x:c r="I66" s="195" t="n">
        <x:f>'Raw Data'!I66</x:f>
        <x:v>597</x:v>
      </x:c>
      <x:c r="J66" s="196" t="n">
        <x:f>'Raw Data'!J66</x:f>
        <x:v>0.13</x:v>
      </x:c>
      <x:c r="K66" s="195" t="n">
        <x:f>'Raw Data'!K66</x:f>
        <x:v>71640</x:v>
      </x:c>
      <x:c r="L66" s="195" t="n">
        <x:f>'Raw Data'!L66</x:f>
        <x:v>62326.8</x:v>
      </x:c>
      <x:c r="M66" s="195" t="n">
        <x:f>'Raw Data'!M66</x:f>
        <x:v>46121.832</x:v>
      </x:c>
      <x:c r="N66" s="195" t="n">
        <x:f>'Raw Data'!N66</x:f>
        <x:v>16204.968</x:v>
      </x:c>
      <x:c r="O66" s="195" t="n">
        <x:f>'Raw Data'!O66</x:f>
        <x:v>8102.484</x:v>
      </x:c>
      <x:c r="P66" s="195" t="n">
        <x:f>'Raw Data'!P66</x:f>
        <x:v>8102.484</x:v>
      </x:c>
      <x:c r="Q66" s="195" t="n">
        <x:f>'Raw Data'!Q66</x:f>
        <x:v>63229.211423733606</x:v>
      </x:c>
      <x:c r="R66" s="196" t="n">
        <x:f t="shared" si="0">IFERROR(N66/L66,0)</x:f>
        <x:v>0.26</x:v>
      </x:c>
      <x:c r="S66" s="196" t="n">
        <x:f t="shared" si="1">IFERROR(P66/L66,0)</x:f>
        <x:v>0.13</x:v>
      </x:c>
      <x:c r="T66" s="196" t="n">
        <x:f t="shared" si="2">IFERROR(L66/Q66,0)</x:f>
        <x:v>0.9857279348672238</x:v>
      </x:c>
    </x:row>
    <x:row r="67">
      <x:c r="A67" s="192" t="str">
        <x:f>'Raw Data'!A67</x:f>
        <x:v>ZOM-0063</x:v>
      </x:c>
      <x:c r="B67" s="193" t="n">
        <x:f>'Raw Data'!B67</x:f>
        <x:v>45720</x:v>
      </x:c>
      <x:c r="C67" s="236" t="str">
        <x:f>'Raw Data'!C67</x:f>
        <x:v>South</x:v>
      </x:c>
      <x:c r="D67" s="192" t="str">
        <x:f>'Raw Data'!D67</x:f>
        <x:v>Coimbatore</x:v>
      </x:c>
      <x:c r="E67" s="192" t="str">
        <x:f>'Raw Data'!E67</x:f>
        <x:v>Snacks</x:v>
      </x:c>
      <x:c r="F67" s="192" t="str">
        <x:f>'Raw Data'!F67</x:f>
        <x:v>Budget</x:v>
      </x:c>
      <x:c r="G67" s="192" t="str">
        <x:f>'Raw Data'!G67</x:f>
        <x:v>Budget Customer 39</x:v>
      </x:c>
      <x:c r="H67" s="192" t="n">
        <x:f>'Raw Data'!H67</x:f>
        <x:v>82</x:v>
      </x:c>
      <x:c r="I67" s="195" t="n">
        <x:f>'Raw Data'!I67</x:f>
        <x:v>219</x:v>
      </x:c>
      <x:c r="J67" s="196" t="n">
        <x:f>'Raw Data'!J67</x:f>
        <x:v>0.11</x:v>
      </x:c>
      <x:c r="K67" s="195" t="n">
        <x:f>'Raw Data'!K67</x:f>
        <x:v>17958</x:v>
      </x:c>
      <x:c r="L67" s="195" t="n">
        <x:f>'Raw Data'!L67</x:f>
        <x:v>15982.62</x:v>
      </x:c>
      <x:c r="M67" s="195" t="n">
        <x:f>'Raw Data'!M67</x:f>
        <x:v>11827.1388</x:v>
      </x:c>
      <x:c r="N67" s="195" t="n">
        <x:f>'Raw Data'!N67</x:f>
        <x:v>4155.4812</x:v>
      </x:c>
      <x:c r="O67" s="195" t="n">
        <x:f>'Raw Data'!O67</x:f>
        <x:v>2077.7406</x:v>
      </x:c>
      <x:c r="P67" s="195" t="n">
        <x:f>'Raw Data'!P67</x:f>
        <x:v>2077.7406</x:v>
      </x:c>
      <x:c r="Q67" s="195" t="n">
        <x:f>'Raw Data'!Q67</x:f>
        <x:v>17440.63366952973</x:v>
      </x:c>
      <x:c r="R67" s="196" t="n">
        <x:f t="shared" si="0">IFERROR(N67/L67,0)</x:f>
        <x:v>0.26</x:v>
      </x:c>
      <x:c r="S67" s="196" t="n">
        <x:f t="shared" si="1">IFERROR(P67/L67,0)</x:f>
        <x:v>0.13</x:v>
      </x:c>
      <x:c r="T67" s="196" t="n">
        <x:f t="shared" si="2">IFERROR(L67/Q67,0)</x:f>
        <x:v>0.9164013362612505</x:v>
      </x:c>
    </x:row>
    <x:row r="68">
      <x:c r="A68" s="192" t="str">
        <x:f>'Raw Data'!A68</x:f>
        <x:v>ZOM-0064</x:v>
      </x:c>
      <x:c r="B68" s="193" t="n">
        <x:f>'Raw Data'!B68</x:f>
        <x:v>45721</x:v>
      </x:c>
      <x:c r="C68" s="236" t="str">
        <x:f>'Raw Data'!C68</x:f>
        <x:v>South</x:v>
      </x:c>
      <x:c r="D68" s="192" t="str">
        <x:f>'Raw Data'!D68</x:f>
        <x:v>Bengaluru</x:v>
      </x:c>
      <x:c r="E68" s="192" t="str">
        <x:f>'Raw Data'!E68</x:f>
        <x:v>Healthy</x:v>
      </x:c>
      <x:c r="F68" s="192" t="str">
        <x:f>'Raw Data'!F68</x:f>
        <x:v>Repeat User</x:v>
      </x:c>
      <x:c r="G68" s="192" t="str">
        <x:f>'Raw Data'!G68</x:f>
        <x:v>Repeat User Customer 04</x:v>
      </x:c>
      <x:c r="H68" s="192" t="n">
        <x:f>'Raw Data'!H68</x:f>
        <x:v>124</x:v>
      </x:c>
      <x:c r="I68" s="195" t="n">
        <x:f>'Raw Data'!I68</x:f>
        <x:v>350</x:v>
      </x:c>
      <x:c r="J68" s="196" t="n">
        <x:f>'Raw Data'!J68</x:f>
        <x:v>0.030000000000000002</x:v>
      </x:c>
      <x:c r="K68" s="195" t="n">
        <x:f>'Raw Data'!K68</x:f>
        <x:v>43400</x:v>
      </x:c>
      <x:c r="L68" s="195" t="n">
        <x:f>'Raw Data'!L68</x:f>
        <x:v>42098</x:v>
      </x:c>
      <x:c r="M68" s="195" t="n">
        <x:f>'Raw Data'!M68</x:f>
        <x:v>29468.6</x:v>
      </x:c>
      <x:c r="N68" s="195" t="n">
        <x:f>'Raw Data'!N68</x:f>
        <x:v>12629.400000000001</x:v>
      </x:c>
      <x:c r="O68" s="195" t="n">
        <x:f>'Raw Data'!O68</x:f>
        <x:v>5472.74</x:v>
      </x:c>
      <x:c r="P68" s="195" t="n">
        <x:f>'Raw Data'!P68</x:f>
        <x:v>7156.660000000002</x:v>
      </x:c>
      <x:c r="Q68" s="195" t="n">
        <x:f>'Raw Data'!Q68</x:f>
        <x:v>42327.93439759899</x:v>
      </x:c>
      <x:c r="R68" s="196" t="n">
        <x:f t="shared" si="0">IFERROR(N68/L68,0)</x:f>
        <x:v>0.30000000000000004</x:v>
      </x:c>
      <x:c r="S68" s="196" t="n">
        <x:f t="shared" si="1">IFERROR(P68/L68,0)</x:f>
        <x:v>0.17000000000000004</x:v>
      </x:c>
      <x:c r="T68" s="196" t="n">
        <x:f t="shared" si="2">IFERROR(L68/Q68,0)</x:f>
        <x:v>0.9945677860053564</x:v>
      </x:c>
    </x:row>
    <x:row r="69">
      <x:c r="A69" s="192" t="str">
        <x:f>'Raw Data'!A69</x:f>
        <x:v>ZOM-0065</x:v>
      </x:c>
      <x:c r="B69" s="193" t="n">
        <x:f>'Raw Data'!B69</x:f>
        <x:v>45722</x:v>
      </x:c>
      <x:c r="C69" s="236" t="str">
        <x:f>'Raw Data'!C69</x:f>
        <x:v>West</x:v>
      </x:c>
      <x:c r="D69" s="192" t="str">
        <x:f>'Raw Data'!D69</x:f>
        <x:v>Pune</x:v>
      </x:c>
      <x:c r="E69" s="192" t="str">
        <x:f>'Raw Data'!E69</x:f>
        <x:v>Burgers</x:v>
      </x:c>
      <x:c r="F69" s="192" t="str">
        <x:f>'Raw Data'!F69</x:f>
        <x:v>Budget</x:v>
      </x:c>
      <x:c r="G69" s="192" t="str">
        <x:f>'Raw Data'!G69</x:f>
        <x:v>Budget Customer 04</x:v>
      </x:c>
      <x:c r="H69" s="192" t="n">
        <x:f>'Raw Data'!H69</x:f>
        <x:v>75</x:v>
      </x:c>
      <x:c r="I69" s="195" t="n">
        <x:f>'Raw Data'!I69</x:f>
        <x:v>490</x:v>
      </x:c>
      <x:c r="J69" s="196" t="n">
        <x:f>'Raw Data'!J69</x:f>
        <x:v>0.1</x:v>
      </x:c>
      <x:c r="K69" s="195" t="n">
        <x:f>'Raw Data'!K69</x:f>
        <x:v>36750</x:v>
      </x:c>
      <x:c r="L69" s="195" t="n">
        <x:f>'Raw Data'!L69</x:f>
        <x:v>33075</x:v>
      </x:c>
      <x:c r="M69" s="195" t="n">
        <x:f>'Raw Data'!M69</x:f>
        <x:v>24475.5</x:v>
      </x:c>
      <x:c r="N69" s="195" t="n">
        <x:f>'Raw Data'!N69</x:f>
        <x:v>8599.5</x:v>
      </x:c>
      <x:c r="O69" s="195" t="n">
        <x:f>'Raw Data'!O69</x:f>
        <x:v>4299.75</x:v>
      </x:c>
      <x:c r="P69" s="195" t="n">
        <x:f>'Raw Data'!P69</x:f>
        <x:v>4299.75</x:v>
      </x:c>
      <x:c r="Q69" s="195" t="n">
        <x:f>'Raw Data'!Q69</x:f>
        <x:v>33806.73940777824</x:v>
      </x:c>
      <x:c r="R69" s="196" t="n">
        <x:f t="shared" ref="R69:R132" si="3">IFERROR(N69/L69,0)</x:f>
        <x:v>0.26</x:v>
      </x:c>
      <x:c r="S69" s="196" t="n">
        <x:f t="shared" ref="S69:S132" si="4">IFERROR(P69/L69,0)</x:f>
        <x:v>0.13</x:v>
      </x:c>
      <x:c r="T69" s="196" t="n">
        <x:f t="shared" ref="T69:T132" si="5">IFERROR(L69/Q69,0)</x:f>
        <x:v>0.9783552208643381</x:v>
      </x:c>
    </x:row>
    <x:row r="70">
      <x:c r="A70" s="192" t="str">
        <x:f>'Raw Data'!A70</x:f>
        <x:v>ZOM-0066</x:v>
      </x:c>
      <x:c r="B70" s="193" t="n">
        <x:f>'Raw Data'!B70</x:f>
        <x:v>45723</x:v>
      </x:c>
      <x:c r="C70" s="236" t="str">
        <x:f>'Raw Data'!C70</x:f>
        <x:v>South</x:v>
      </x:c>
      <x:c r="D70" s="192" t="str">
        <x:f>'Raw Data'!D70</x:f>
        <x:v>Kochi</x:v>
      </x:c>
      <x:c r="E70" s="192" t="str">
        <x:f>'Raw Data'!E70</x:f>
        <x:v>North Indian</x:v>
      </x:c>
      <x:c r="F70" s="192" t="str">
        <x:f>'Raw Data'!F70</x:f>
        <x:v>New User</x:v>
      </x:c>
      <x:c r="G70" s="192" t="str">
        <x:f>'Raw Data'!G70</x:f>
        <x:v>New User Customer 06</x:v>
      </x:c>
      <x:c r="H70" s="192" t="n">
        <x:f>'Raw Data'!H70</x:f>
        <x:v>133</x:v>
      </x:c>
      <x:c r="I70" s="195" t="n">
        <x:f>'Raw Data'!I70</x:f>
        <x:v>443</x:v>
      </x:c>
      <x:c r="J70" s="196" t="n">
        <x:f>'Raw Data'!J70</x:f>
        <x:v>0.06</x:v>
      </x:c>
      <x:c r="K70" s="195" t="n">
        <x:f>'Raw Data'!K70</x:f>
        <x:v>58919</x:v>
      </x:c>
      <x:c r="L70" s="195" t="n">
        <x:f>'Raw Data'!L70</x:f>
        <x:v>55383.85999999999</x:v>
      </x:c>
      <x:c r="M70" s="195" t="n">
        <x:f>'Raw Data'!M70</x:f>
        <x:v>40430.21779999999</x:v>
      </x:c>
      <x:c r="N70" s="195" t="n">
        <x:f>'Raw Data'!N70</x:f>
        <x:v>14953.642200000002</x:v>
      </x:c>
      <x:c r="O70" s="195" t="n">
        <x:f>'Raw Data'!O70</x:f>
        <x:v>7199.9018</x:v>
      </x:c>
      <x:c r="P70" s="195" t="n">
        <x:f>'Raw Data'!P70</x:f>
        <x:v>7753.740400000002</x:v>
      </x:c>
      <x:c r="Q70" s="195" t="n">
        <x:f>'Raw Data'!Q70</x:f>
        <x:v>61691.809003852075</x:v>
      </x:c>
      <x:c r="R70" s="196" t="n">
        <x:f t="shared" si="3">IFERROR(N70/L70,0)</x:f>
        <x:v>0.2700000000000001</x:v>
      </x:c>
      <x:c r="S70" s="196" t="n">
        <x:f t="shared" si="4">IFERROR(P70/L70,0)</x:f>
        <x:v>0.14000000000000007</x:v>
      </x:c>
      <x:c r="T70" s="196" t="n">
        <x:f t="shared" si="5">IFERROR(L70/Q70,0)</x:f>
        <x:v>0.8977506235315905</x:v>
      </x:c>
    </x:row>
    <x:row r="71">
      <x:c r="A71" s="192" t="str">
        <x:f>'Raw Data'!A71</x:f>
        <x:v>ZOM-0067</x:v>
      </x:c>
      <x:c r="B71" s="193" t="n">
        <x:f>'Raw Data'!B71</x:f>
        <x:v>45724</x:v>
      </x:c>
      <x:c r="C71" s="236" t="str">
        <x:f>'Raw Data'!C71</x:f>
        <x:v>Metro</x:v>
      </x:c>
      <x:c r="D71" s="192" t="str">
        <x:f>'Raw Data'!D71</x:f>
        <x:v>Delhi</x:v>
      </x:c>
      <x:c r="E71" s="192" t="str">
        <x:f>'Raw Data'!E71</x:f>
        <x:v>Chinese</x:v>
      </x:c>
      <x:c r="F71" s="192" t="str">
        <x:f>'Raw Data'!F71</x:f>
        <x:v>Repeat User</x:v>
      </x:c>
      <x:c r="G71" s="192" t="str">
        <x:f>'Raw Data'!G71</x:f>
        <x:v>Repeat User Customer 20</x:v>
      </x:c>
      <x:c r="H71" s="192" t="n">
        <x:f>'Raw Data'!H71</x:f>
        <x:v>168</x:v>
      </x:c>
      <x:c r="I71" s="195" t="n">
        <x:f>'Raw Data'!I71</x:f>
        <x:v>510</x:v>
      </x:c>
      <x:c r="J71" s="196" t="n">
        <x:f>'Raw Data'!J71</x:f>
        <x:v>0.05</x:v>
      </x:c>
      <x:c r="K71" s="195" t="n">
        <x:f>'Raw Data'!K71</x:f>
        <x:v>85680</x:v>
      </x:c>
      <x:c r="L71" s="195" t="n">
        <x:f>'Raw Data'!L71</x:f>
        <x:v>81396</x:v>
      </x:c>
      <x:c r="M71" s="195" t="n">
        <x:f>'Raw Data'!M71</x:f>
        <x:v>60233.04</x:v>
      </x:c>
      <x:c r="N71" s="195" t="n">
        <x:f>'Raw Data'!N71</x:f>
        <x:v>21162.96</x:v>
      </x:c>
      <x:c r="O71" s="195" t="n">
        <x:f>'Raw Data'!O71</x:f>
        <x:v>10581.48</x:v>
      </x:c>
      <x:c r="P71" s="195" t="n">
        <x:f>'Raw Data'!P71</x:f>
        <x:v>10581.48</x:v>
      </x:c>
      <x:c r="Q71" s="195" t="n">
        <x:f>'Raw Data'!Q71</x:f>
        <x:v>90269.83467852807</x:v>
      </x:c>
      <x:c r="R71" s="196" t="n">
        <x:f t="shared" si="3">IFERROR(N71/L71,0)</x:f>
        <x:v>0.26</x:v>
      </x:c>
      <x:c r="S71" s="196" t="n">
        <x:f t="shared" si="4">IFERROR(P71/L71,0)</x:f>
        <x:v>0.13</x:v>
      </x:c>
      <x:c r="T71" s="196" t="n">
        <x:f t="shared" si="5">IFERROR(L71/Q71,0)</x:f>
        <x:v>0.9016965666312576</x:v>
      </x:c>
    </x:row>
    <x:row r="72">
      <x:c r="A72" s="192" t="str">
        <x:f>'Raw Data'!A72</x:f>
        <x:v>ZOM-0068</x:v>
      </x:c>
      <x:c r="B72" s="193" t="n">
        <x:f>'Raw Data'!B72</x:f>
        <x:v>45725</x:v>
      </x:c>
      <x:c r="C72" s="236" t="str">
        <x:f>'Raw Data'!C72</x:f>
        <x:v>Metro</x:v>
      </x:c>
      <x:c r="D72" s="192" t="str">
        <x:f>'Raw Data'!D72</x:f>
        <x:v>Hyderabad</x:v>
      </x:c>
      <x:c r="E72" s="192" t="str">
        <x:f>'Raw Data'!E72</x:f>
        <x:v>Pizza</x:v>
      </x:c>
      <x:c r="F72" s="192" t="str">
        <x:f>'Raw Data'!F72</x:f>
        <x:v>Corporate</x:v>
      </x:c>
      <x:c r="G72" s="192" t="str">
        <x:f>'Raw Data'!G72</x:f>
        <x:v>Corporate Customer 43</x:v>
      </x:c>
      <x:c r="H72" s="192" t="n">
        <x:f>'Raw Data'!H72</x:f>
        <x:v>196</x:v>
      </x:c>
      <x:c r="I72" s="195" t="n">
        <x:f>'Raw Data'!I72</x:f>
        <x:v>764</x:v>
      </x:c>
      <x:c r="J72" s="196" t="n">
        <x:f>'Raw Data'!J72</x:f>
        <x:v>0</x:v>
      </x:c>
      <x:c r="K72" s="195" t="n">
        <x:f>'Raw Data'!K72</x:f>
        <x:v>149744</x:v>
      </x:c>
      <x:c r="L72" s="195" t="n">
        <x:f>'Raw Data'!L72</x:f>
        <x:v>149744</x:v>
      </x:c>
      <x:c r="M72" s="195" t="n">
        <x:f>'Raw Data'!M72</x:f>
        <x:v>110810.56</x:v>
      </x:c>
      <x:c r="N72" s="195" t="n">
        <x:f>'Raw Data'!N72</x:f>
        <x:v>38933.44</x:v>
      </x:c>
      <x:c r="O72" s="195" t="n">
        <x:f>'Raw Data'!O72</x:f>
        <x:v>19466.72</x:v>
      </x:c>
      <x:c r="P72" s="195" t="n">
        <x:f>'Raw Data'!P72</x:f>
        <x:v>19466.72</x:v>
      </x:c>
      <x:c r="Q72" s="195" t="n">
        <x:f>'Raw Data'!Q72</x:f>
        <x:v>153535.97082149732</x:v>
      </x:c>
      <x:c r="R72" s="196" t="n">
        <x:f t="shared" si="3">IFERROR(N72/L72,0)</x:f>
        <x:v>0.26</x:v>
      </x:c>
      <x:c r="S72" s="196" t="n">
        <x:f t="shared" si="4">IFERROR(P72/L72,0)</x:f>
        <x:v>0.13</x:v>
      </x:c>
      <x:c r="T72" s="196" t="n">
        <x:f t="shared" si="5">IFERROR(L72/Q72,0)</x:f>
        <x:v>0.9753023946036339</x:v>
      </x:c>
    </x:row>
    <x:row r="73">
      <x:c r="A73" s="192" t="str">
        <x:f>'Raw Data'!A73</x:f>
        <x:v>ZOM-0069</x:v>
      </x:c>
      <x:c r="B73" s="193" t="n">
        <x:f>'Raw Data'!B73</x:f>
        <x:v>45726</x:v>
      </x:c>
      <x:c r="C73" s="236" t="str">
        <x:f>'Raw Data'!C73</x:f>
        <x:v>North</x:v>
      </x:c>
      <x:c r="D73" s="192" t="str">
        <x:f>'Raw Data'!D73</x:f>
        <x:v>Noida</x:v>
      </x:c>
      <x:c r="E73" s="192" t="str">
        <x:f>'Raw Data'!E73</x:f>
        <x:v>Biryani</x:v>
      </x:c>
      <x:c r="F73" s="192" t="str">
        <x:f>'Raw Data'!F73</x:f>
        <x:v>New User</x:v>
      </x:c>
      <x:c r="G73" s="192" t="str">
        <x:f>'Raw Data'!G73</x:f>
        <x:v>New User Customer 45</x:v>
      </x:c>
      <x:c r="H73" s="192" t="n">
        <x:f>'Raw Data'!H73</x:f>
        <x:v>67</x:v>
      </x:c>
      <x:c r="I73" s="195" t="n">
        <x:f>'Raw Data'!I73</x:f>
        <x:v>458</x:v>
      </x:c>
      <x:c r="J73" s="196" t="n">
        <x:f>'Raw Data'!J73</x:f>
        <x:v>0.09</x:v>
      </x:c>
      <x:c r="K73" s="195" t="n">
        <x:f>'Raw Data'!K73</x:f>
        <x:v>30686</x:v>
      </x:c>
      <x:c r="L73" s="195" t="n">
        <x:f>'Raw Data'!L73</x:f>
        <x:v>27924.260000000002</x:v>
      </x:c>
      <x:c r="M73" s="195" t="n">
        <x:f>'Raw Data'!M73</x:f>
        <x:v>20663.952400000002</x:v>
      </x:c>
      <x:c r="N73" s="195" t="n">
        <x:f>'Raw Data'!N73</x:f>
        <x:v>7260.3076</x:v>
      </x:c>
      <x:c r="O73" s="195" t="n">
        <x:f>'Raw Data'!O73</x:f>
        <x:v>3630.1538000000005</x:v>
      </x:c>
      <x:c r="P73" s="195" t="n">
        <x:f>'Raw Data'!P73</x:f>
        <x:v>3630.1537999999996</x:v>
      </x:c>
      <x:c r="Q73" s="195" t="n">
        <x:f>'Raw Data'!Q73</x:f>
        <x:v>30293.206208246953</x:v>
      </x:c>
      <x:c r="R73" s="196" t="n">
        <x:f t="shared" si="3">IFERROR(N73/L73,0)</x:f>
        <x:v>0.26</x:v>
      </x:c>
      <x:c r="S73" s="196" t="n">
        <x:f t="shared" si="4">IFERROR(P73/L73,0)</x:f>
        <x:v>0.12999999999999998</x:v>
      </x:c>
      <x:c r="T73" s="196" t="n">
        <x:f t="shared" si="5">IFERROR(L73/Q73,0)</x:f>
        <x:v>0.9217994228817538</x:v>
      </x:c>
    </x:row>
    <x:row r="74">
      <x:c r="A74" s="192" t="str">
        <x:f>'Raw Data'!A74</x:f>
        <x:v>ZOM-0070</x:v>
      </x:c>
      <x:c r="B74" s="193" t="n">
        <x:f>'Raw Data'!B74</x:f>
        <x:v>45727</x:v>
      </x:c>
      <x:c r="C74" s="236" t="str">
        <x:f>'Raw Data'!C74</x:f>
        <x:v>Metro</x:v>
      </x:c>
      <x:c r="D74" s="192" t="str">
        <x:f>'Raw Data'!D74</x:f>
        <x:v>Delhi</x:v>
      </x:c>
      <x:c r="E74" s="192" t="str">
        <x:f>'Raw Data'!E74</x:f>
        <x:v>Burgers</x:v>
      </x:c>
      <x:c r="F74" s="192" t="str">
        <x:f>'Raw Data'!F74</x:f>
        <x:v>Student</x:v>
      </x:c>
      <x:c r="G74" s="192" t="str">
        <x:f>'Raw Data'!G74</x:f>
        <x:v>Student Customer 59</x:v>
      </x:c>
      <x:c r="H74" s="192" t="n">
        <x:f>'Raw Data'!H74</x:f>
        <x:v>134</x:v>
      </x:c>
      <x:c r="I74" s="195" t="n">
        <x:f>'Raw Data'!I74</x:f>
        <x:v>440</x:v>
      </x:c>
      <x:c r="J74" s="196" t="n">
        <x:f>'Raw Data'!J74</x:f>
        <x:v>0.12</x:v>
      </x:c>
      <x:c r="K74" s="195" t="n">
        <x:f>'Raw Data'!K74</x:f>
        <x:v>58960</x:v>
      </x:c>
      <x:c r="L74" s="195" t="n">
        <x:f>'Raw Data'!L74</x:f>
        <x:v>51884.8</x:v>
      </x:c>
      <x:c r="M74" s="195" t="n">
        <x:f>'Raw Data'!M74</x:f>
        <x:v>38394.752</x:v>
      </x:c>
      <x:c r="N74" s="195" t="n">
        <x:f>'Raw Data'!N74</x:f>
        <x:v>13490.048000000003</x:v>
      </x:c>
      <x:c r="O74" s="195" t="n">
        <x:f>'Raw Data'!O74</x:f>
        <x:v>6745.024</x:v>
      </x:c>
      <x:c r="P74" s="195" t="n">
        <x:f>'Raw Data'!P74</x:f>
        <x:v>6745.024000000002</x:v>
      </x:c>
      <x:c r="Q74" s="195" t="n">
        <x:f>'Raw Data'!Q74</x:f>
        <x:v>55917.087771615166</x:v>
      </x:c>
      <x:c r="R74" s="196" t="n">
        <x:f t="shared" si="3">IFERROR(N74/L74,0)</x:f>
        <x:v>0.26</x:v>
      </x:c>
      <x:c r="S74" s="196" t="n">
        <x:f t="shared" si="4">IFERROR(P74/L74,0)</x:f>
        <x:v>0.13000000000000003</x:v>
      </x:c>
      <x:c r="T74" s="196" t="n">
        <x:f t="shared" si="5">IFERROR(L74/Q74,0)</x:f>
        <x:v>0.9278880940995277</x:v>
      </x:c>
    </x:row>
    <x:row r="75">
      <x:c r="A75" s="192" t="str">
        <x:f>'Raw Data'!A75</x:f>
        <x:v>ZOM-0071</x:v>
      </x:c>
      <x:c r="B75" s="193" t="n">
        <x:f>'Raw Data'!B75</x:f>
        <x:v>45728</x:v>
      </x:c>
      <x:c r="C75" s="236" t="str">
        <x:f>'Raw Data'!C75</x:f>
        <x:v>South</x:v>
      </x:c>
      <x:c r="D75" s="192" t="str">
        <x:f>'Raw Data'!D75</x:f>
        <x:v>Hyderabad</x:v>
      </x:c>
      <x:c r="E75" s="192" t="str">
        <x:f>'Raw Data'!E75</x:f>
        <x:v>North Indian</x:v>
      </x:c>
      <x:c r="F75" s="192" t="str">
        <x:f>'Raw Data'!F75</x:f>
        <x:v>New User</x:v>
      </x:c>
      <x:c r="G75" s="192" t="str">
        <x:f>'Raw Data'!G75</x:f>
        <x:v>New User Customer 26</x:v>
      </x:c>
      <x:c r="H75" s="192" t="n">
        <x:f>'Raw Data'!H75</x:f>
        <x:v>110</x:v>
      </x:c>
      <x:c r="I75" s="195" t="n">
        <x:f>'Raw Data'!I75</x:f>
        <x:v>559</x:v>
      </x:c>
      <x:c r="J75" s="196" t="n">
        <x:f>'Raw Data'!J75</x:f>
        <x:v>0.08</x:v>
      </x:c>
      <x:c r="K75" s="195" t="n">
        <x:f>'Raw Data'!K75</x:f>
        <x:v>61490</x:v>
      </x:c>
      <x:c r="L75" s="195" t="n">
        <x:f>'Raw Data'!L75</x:f>
        <x:v>56570.8</x:v>
      </x:c>
      <x:c r="M75" s="195" t="n">
        <x:f>'Raw Data'!M75</x:f>
        <x:v>41296.684</x:v>
      </x:c>
      <x:c r="N75" s="195" t="n">
        <x:f>'Raw Data'!N75</x:f>
        <x:v>15274.116000000002</x:v>
      </x:c>
      <x:c r="O75" s="195" t="n">
        <x:f>'Raw Data'!O75</x:f>
        <x:v>7354.204000000001</x:v>
      </x:c>
      <x:c r="P75" s="195" t="n">
        <x:f>'Raw Data'!P75</x:f>
        <x:v>7919.912000000001</x:v>
      </x:c>
      <x:c r="Q75" s="195" t="n">
        <x:f>'Raw Data'!Q75</x:f>
        <x:v>58635.12183064839</x:v>
      </x:c>
      <x:c r="R75" s="196" t="n">
        <x:f t="shared" si="3">IFERROR(N75/L75,0)</x:f>
        <x:v>0.27</x:v>
      </x:c>
      <x:c r="S75" s="196" t="n">
        <x:f t="shared" si="4">IFERROR(P75/L75,0)</x:f>
        <x:v>0.14</x:v>
      </x:c>
      <x:c r="T75" s="196" t="n">
        <x:f t="shared" si="5">IFERROR(L75/Q75,0)</x:f>
        <x:v>0.9647937658147855</x:v>
      </x:c>
    </x:row>
    <x:row r="76">
      <x:c r="A76" s="192" t="str">
        <x:f>'Raw Data'!A76</x:f>
        <x:v>ZOM-0072</x:v>
      </x:c>
      <x:c r="B76" s="193" t="n">
        <x:f>'Raw Data'!B76</x:f>
        <x:v>45729</x:v>
      </x:c>
      <x:c r="C76" s="236" t="str">
        <x:f>'Raw Data'!C76</x:f>
        <x:v>Metro</x:v>
      </x:c>
      <x:c r="D76" s="192" t="str">
        <x:f>'Raw Data'!D76</x:f>
        <x:v>Pune</x:v>
      </x:c>
      <x:c r="E76" s="192" t="str">
        <x:f>'Raw Data'!E76</x:f>
        <x:v>Chinese</x:v>
      </x:c>
      <x:c r="F76" s="192" t="str">
        <x:f>'Raw Data'!F76</x:f>
        <x:v>Gold User</x:v>
      </x:c>
      <x:c r="G76" s="192" t="str">
        <x:f>'Raw Data'!G76</x:f>
        <x:v>Gold User Customer 15</x:v>
      </x:c>
      <x:c r="H76" s="192" t="n">
        <x:f>'Raw Data'!H76</x:f>
        <x:v>187</x:v>
      </x:c>
      <x:c r="I76" s="195" t="n">
        <x:f>'Raw Data'!I76</x:f>
        <x:v>368</x:v>
      </x:c>
      <x:c r="J76" s="196" t="n">
        <x:f>'Raw Data'!J76</x:f>
        <x:v>0.04</x:v>
      </x:c>
      <x:c r="K76" s="195" t="n">
        <x:f>'Raw Data'!K76</x:f>
        <x:v>68816</x:v>
      </x:c>
      <x:c r="L76" s="195" t="n">
        <x:f>'Raw Data'!L76</x:f>
        <x:v>66063.36</x:v>
      </x:c>
      <x:c r="M76" s="195" t="n">
        <x:f>'Raw Data'!M76</x:f>
        <x:v>48886.8864</x:v>
      </x:c>
      <x:c r="N76" s="195" t="n">
        <x:f>'Raw Data'!N76</x:f>
        <x:v>17176.473599999998</x:v>
      </x:c>
      <x:c r="O76" s="195" t="n">
        <x:f>'Raw Data'!O76</x:f>
        <x:v>8588.2368</x:v>
      </x:c>
      <x:c r="P76" s="195" t="n">
        <x:f>'Raw Data'!P76</x:f>
        <x:v>8588.236799999997</x:v>
      </x:c>
      <x:c r="Q76" s="195" t="n">
        <x:f>'Raw Data'!Q76</x:f>
        <x:v>66268.40660366543</x:v>
      </x:c>
      <x:c r="R76" s="196" t="n">
        <x:f t="shared" si="3">IFERROR(N76/L76,0)</x:f>
        <x:v>0.25999999999999995</x:v>
      </x:c>
      <x:c r="S76" s="196" t="n">
        <x:f t="shared" si="4">IFERROR(P76/L76,0)</x:f>
        <x:v>0.12999999999999995</x:v>
      </x:c>
      <x:c r="T76" s="196" t="n">
        <x:f t="shared" si="5">IFERROR(L76/Q76,0)</x:f>
        <x:v>0.9969058165998805</x:v>
      </x:c>
    </x:row>
    <x:row r="77">
      <x:c r="A77" s="192" t="str">
        <x:f>'Raw Data'!A77</x:f>
        <x:v>ZOM-0073</x:v>
      </x:c>
      <x:c r="B77" s="193" t="n">
        <x:f>'Raw Data'!B77</x:f>
        <x:v>45730</x:v>
      </x:c>
      <x:c r="C77" s="236" t="str">
        <x:f>'Raw Data'!C77</x:f>
        <x:v>Metro</x:v>
      </x:c>
      <x:c r="D77" s="192" t="str">
        <x:f>'Raw Data'!D77</x:f>
        <x:v>Pune</x:v>
      </x:c>
      <x:c r="E77" s="192" t="str">
        <x:f>'Raw Data'!E77</x:f>
        <x:v>Chinese</x:v>
      </x:c>
      <x:c r="F77" s="192" t="str">
        <x:f>'Raw Data'!F77</x:f>
        <x:v>New User</x:v>
      </x:c>
      <x:c r="G77" s="192" t="str">
        <x:f>'Raw Data'!G77</x:f>
        <x:v>New User Customer 12</x:v>
      </x:c>
      <x:c r="H77" s="192" t="n">
        <x:f>'Raw Data'!H77</x:f>
        <x:v>113</x:v>
      </x:c>
      <x:c r="I77" s="195" t="n">
        <x:f>'Raw Data'!I77</x:f>
        <x:v>470</x:v>
      </x:c>
      <x:c r="J77" s="196" t="n">
        <x:f>'Raw Data'!J77</x:f>
        <x:v>0.08</x:v>
      </x:c>
      <x:c r="K77" s="195" t="n">
        <x:f>'Raw Data'!K77</x:f>
        <x:v>53110</x:v>
      </x:c>
      <x:c r="L77" s="195" t="n">
        <x:f>'Raw Data'!L77</x:f>
        <x:v>48861.200000000004</x:v>
      </x:c>
      <x:c r="M77" s="195" t="n">
        <x:f>'Raw Data'!M77</x:f>
        <x:v>36157.288</x:v>
      </x:c>
      <x:c r="N77" s="195" t="n">
        <x:f>'Raw Data'!N77</x:f>
        <x:v>12703.912000000004</x:v>
      </x:c>
      <x:c r="O77" s="195" t="n">
        <x:f>'Raw Data'!O77</x:f>
        <x:v>6351.956000000001</x:v>
      </x:c>
      <x:c r="P77" s="195" t="n">
        <x:f>'Raw Data'!P77</x:f>
        <x:v>6351.956000000003</x:v>
      </x:c>
      <x:c r="Q77" s="195" t="n">
        <x:f>'Raw Data'!Q77</x:f>
        <x:v>54232.44988465369</x:v>
      </x:c>
      <x:c r="R77" s="196" t="n">
        <x:f t="shared" si="3">IFERROR(N77/L77,0)</x:f>
        <x:v>0.26000000000000006</x:v>
      </x:c>
      <x:c r="S77" s="196" t="n">
        <x:f t="shared" si="4">IFERROR(P77/L77,0)</x:f>
        <x:v>0.13000000000000006</x:v>
      </x:c>
      <x:c r="T77" s="196" t="n">
        <x:f t="shared" si="5">IFERROR(L77/Q77,0)</x:f>
        <x:v>0.9009587452516394</x:v>
      </x:c>
    </x:row>
    <x:row r="78">
      <x:c r="A78" s="192" t="str">
        <x:f>'Raw Data'!A78</x:f>
        <x:v>ZOM-0074</x:v>
      </x:c>
      <x:c r="B78" s="193" t="n">
        <x:f>'Raw Data'!B78</x:f>
        <x:v>45731</x:v>
      </x:c>
      <x:c r="C78" s="236" t="str">
        <x:f>'Raw Data'!C78</x:f>
        <x:v>Metro</x:v>
      </x:c>
      <x:c r="D78" s="192" t="str">
        <x:f>'Raw Data'!D78</x:f>
        <x:v>Hyderabad</x:v>
      </x:c>
      <x:c r="E78" s="192" t="str">
        <x:f>'Raw Data'!E78</x:f>
        <x:v>Burgers</x:v>
      </x:c>
      <x:c r="F78" s="192" t="str">
        <x:f>'Raw Data'!F78</x:f>
        <x:v>Gold User</x:v>
      </x:c>
      <x:c r="G78" s="192" t="str">
        <x:f>'Raw Data'!G78</x:f>
        <x:v>Gold User Customer 22</x:v>
      </x:c>
      <x:c r="H78" s="192" t="n">
        <x:f>'Raw Data'!H78</x:f>
        <x:v>104</x:v>
      </x:c>
      <x:c r="I78" s="195" t="n">
        <x:f>'Raw Data'!I78</x:f>
        <x:v>419</x:v>
      </x:c>
      <x:c r="J78" s="196" t="n">
        <x:f>'Raw Data'!J78</x:f>
        <x:v>0.04</x:v>
      </x:c>
      <x:c r="K78" s="195" t="n">
        <x:f>'Raw Data'!K78</x:f>
        <x:v>43576</x:v>
      </x:c>
      <x:c r="L78" s="195" t="n">
        <x:f>'Raw Data'!L78</x:f>
        <x:v>41832.96</x:v>
      </x:c>
      <x:c r="M78" s="195" t="n">
        <x:f>'Raw Data'!M78</x:f>
        <x:v>30956.3904</x:v>
      </x:c>
      <x:c r="N78" s="195" t="n">
        <x:f>'Raw Data'!N78</x:f>
        <x:v>10876.569599999999</x:v>
      </x:c>
      <x:c r="O78" s="195" t="n">
        <x:f>'Raw Data'!O78</x:f>
        <x:v>5438.2848</x:v>
      </x:c>
      <x:c r="P78" s="195" t="n">
        <x:f>'Raw Data'!P78</x:f>
        <x:v>5438.2847999999985</x:v>
      </x:c>
      <x:c r="Q78" s="195" t="n">
        <x:f>'Raw Data'!Q78</x:f>
        <x:v>46138.741707447145</x:v>
      </x:c>
      <x:c r="R78" s="196" t="n">
        <x:f t="shared" si="3">IFERROR(N78/L78,0)</x:f>
        <x:v>0.25999999999999995</x:v>
      </x:c>
      <x:c r="S78" s="196" t="n">
        <x:f t="shared" si="4">IFERROR(P78/L78,0)</x:f>
        <x:v>0.12999999999999998</x:v>
      </x:c>
      <x:c r="T78" s="196" t="n">
        <x:f t="shared" si="5">IFERROR(L78/Q78,0)</x:f>
        <x:v>0.906677522010702</x:v>
      </x:c>
    </x:row>
    <x:row r="79">
      <x:c r="A79" s="192" t="str">
        <x:f>'Raw Data'!A79</x:f>
        <x:v>ZOM-0075</x:v>
      </x:c>
      <x:c r="B79" s="193" t="n">
        <x:f>'Raw Data'!B79</x:f>
        <x:v>45732</x:v>
      </x:c>
      <x:c r="C79" s="236" t="str">
        <x:f>'Raw Data'!C79</x:f>
        <x:v>West</x:v>
      </x:c>
      <x:c r="D79" s="192" t="str">
        <x:f>'Raw Data'!D79</x:f>
        <x:v>Surat</x:v>
      </x:c>
      <x:c r="E79" s="192" t="str">
        <x:f>'Raw Data'!E79</x:f>
        <x:v>Pizza</x:v>
      </x:c>
      <x:c r="F79" s="192" t="str">
        <x:f>'Raw Data'!F79</x:f>
        <x:v>Student</x:v>
      </x:c>
      <x:c r="G79" s="192" t="str">
        <x:f>'Raw Data'!G79</x:f>
        <x:v>Student Customer 26</x:v>
      </x:c>
      <x:c r="H79" s="192" t="n">
        <x:f>'Raw Data'!H79</x:f>
        <x:v>120</x:v>
      </x:c>
      <x:c r="I79" s="195" t="n">
        <x:f>'Raw Data'!I79</x:f>
        <x:v>518</x:v>
      </x:c>
      <x:c r="J79" s="196" t="n">
        <x:f>'Raw Data'!J79</x:f>
        <x:v>0.09999999999999999</x:v>
      </x:c>
      <x:c r="K79" s="195" t="n">
        <x:f>'Raw Data'!K79</x:f>
        <x:v>62160</x:v>
      </x:c>
      <x:c r="L79" s="195" t="n">
        <x:f>'Raw Data'!L79</x:f>
        <x:v>55944</x:v>
      </x:c>
      <x:c r="M79" s="195" t="n">
        <x:f>'Raw Data'!M79</x:f>
        <x:v>41398.56</x:v>
      </x:c>
      <x:c r="N79" s="195" t="n">
        <x:f>'Raw Data'!N79</x:f>
        <x:v>14545.440000000002</x:v>
      </x:c>
      <x:c r="O79" s="195" t="n">
        <x:f>'Raw Data'!O79</x:f>
        <x:v>7272.72</x:v>
      </x:c>
      <x:c r="P79" s="195" t="n">
        <x:f>'Raw Data'!P79</x:f>
        <x:v>7272.720000000002</x:v>
      </x:c>
      <x:c r="Q79" s="195" t="n">
        <x:f>'Raw Data'!Q79</x:f>
        <x:v>62457.12172278949</x:v>
      </x:c>
      <x:c r="R79" s="196" t="n">
        <x:f t="shared" si="3">IFERROR(N79/L79,0)</x:f>
        <x:v>0.26000000000000006</x:v>
      </x:c>
      <x:c r="S79" s="196" t="n">
        <x:f t="shared" si="4">IFERROR(P79/L79,0)</x:f>
        <x:v>0.13000000000000003</x:v>
      </x:c>
      <x:c r="T79" s="196" t="n">
        <x:f t="shared" si="5">IFERROR(L79/Q79,0)</x:f>
        <x:v>0.8957185098650973</x:v>
      </x:c>
    </x:row>
    <x:row r="80">
      <x:c r="A80" s="192" t="str">
        <x:f>'Raw Data'!A80</x:f>
        <x:v>ZOM-0076</x:v>
      </x:c>
      <x:c r="B80" s="193" t="n">
        <x:f>'Raw Data'!B80</x:f>
        <x:v>45733</x:v>
      </x:c>
      <x:c r="C80" s="236" t="str">
        <x:f>'Raw Data'!C80</x:f>
        <x:v>Metro</x:v>
      </x:c>
      <x:c r="D80" s="192" t="str">
        <x:f>'Raw Data'!D80</x:f>
        <x:v>Delhi</x:v>
      </x:c>
      <x:c r="E80" s="192" t="str">
        <x:f>'Raw Data'!E80</x:f>
        <x:v>Burgers</x:v>
      </x:c>
      <x:c r="F80" s="192" t="str">
        <x:f>'Raw Data'!F80</x:f>
        <x:v>Gold User</x:v>
      </x:c>
      <x:c r="G80" s="192" t="str">
        <x:f>'Raw Data'!G80</x:f>
        <x:v>Gold User Customer 04</x:v>
      </x:c>
      <x:c r="H80" s="192" t="n">
        <x:f>'Raw Data'!H80</x:f>
        <x:v>156</x:v>
      </x:c>
      <x:c r="I80" s="195" t="n">
        <x:f>'Raw Data'!I80</x:f>
        <x:v>346</x:v>
      </x:c>
      <x:c r="J80" s="196" t="n">
        <x:f>'Raw Data'!J80</x:f>
        <x:v>0.03</x:v>
      </x:c>
      <x:c r="K80" s="195" t="n">
        <x:f>'Raw Data'!K80</x:f>
        <x:v>53976</x:v>
      </x:c>
      <x:c r="L80" s="195" t="n">
        <x:f>'Raw Data'!L80</x:f>
        <x:v>52356.72</x:v>
      </x:c>
      <x:c r="M80" s="195" t="n">
        <x:f>'Raw Data'!M80</x:f>
        <x:v>38743.9728</x:v>
      </x:c>
      <x:c r="N80" s="195" t="n">
        <x:f>'Raw Data'!N80</x:f>
        <x:v>13612.747199999998</x:v>
      </x:c>
      <x:c r="O80" s="195" t="n">
        <x:f>'Raw Data'!O80</x:f>
        <x:v>6806.373600000001</x:v>
      </x:c>
      <x:c r="P80" s="195" t="n">
        <x:f>'Raw Data'!P80</x:f>
        <x:v>6806.373599999997</x:v>
      </x:c>
      <x:c r="Q80" s="195" t="n">
        <x:f>'Raw Data'!Q80</x:f>
        <x:v>55133.97774567394</x:v>
      </x:c>
      <x:c r="R80" s="196" t="n">
        <x:f t="shared" si="3">IFERROR(N80/L80,0)</x:f>
        <x:v>0.25999999999999995</x:v>
      </x:c>
      <x:c r="S80" s="196" t="n">
        <x:f t="shared" si="4">IFERROR(P80/L80,0)</x:f>
        <x:v>0.12999999999999995</x:v>
      </x:c>
      <x:c r="T80" s="196" t="n">
        <x:f t="shared" si="5">IFERROR(L80/Q80,0)</x:f>
        <x:v>0.9496271109172446</x:v>
      </x:c>
    </x:row>
    <x:row r="81">
      <x:c r="A81" s="192" t="str">
        <x:f>'Raw Data'!A81</x:f>
        <x:v>ZOM-0077</x:v>
      </x:c>
      <x:c r="B81" s="193" t="n">
        <x:f>'Raw Data'!B81</x:f>
        <x:v>45734</x:v>
      </x:c>
      <x:c r="C81" s="236" t="str">
        <x:f>'Raw Data'!C81</x:f>
        <x:v>South</x:v>
      </x:c>
      <x:c r="D81" s="192" t="str">
        <x:f>'Raw Data'!D81</x:f>
        <x:v>Coimbatore</x:v>
      </x:c>
      <x:c r="E81" s="192" t="str">
        <x:f>'Raw Data'!E81</x:f>
        <x:v>North Indian</x:v>
      </x:c>
      <x:c r="F81" s="192" t="str">
        <x:f>'Raw Data'!F81</x:f>
        <x:v>Repeat User</x:v>
      </x:c>
      <x:c r="G81" s="192" t="str">
        <x:f>'Raw Data'!G81</x:f>
        <x:v>Repeat User Customer 27</x:v>
      </x:c>
      <x:c r="H81" s="192" t="n">
        <x:f>'Raw Data'!H81</x:f>
        <x:v>141</x:v>
      </x:c>
      <x:c r="I81" s="195" t="n">
        <x:f>'Raw Data'!I81</x:f>
        <x:v>454</x:v>
      </x:c>
      <x:c r="J81" s="196" t="n">
        <x:f>'Raw Data'!J81</x:f>
        <x:v>0.05</x:v>
      </x:c>
      <x:c r="K81" s="195" t="n">
        <x:f>'Raw Data'!K81</x:f>
        <x:v>64014</x:v>
      </x:c>
      <x:c r="L81" s="195" t="n">
        <x:f>'Raw Data'!L81</x:f>
        <x:v>60813.299999999996</x:v>
      </x:c>
      <x:c r="M81" s="195" t="n">
        <x:f>'Raw Data'!M81</x:f>
        <x:v>44393.708999999995</x:v>
      </x:c>
      <x:c r="N81" s="195" t="n">
        <x:f>'Raw Data'!N81</x:f>
        <x:v>16419.591</x:v>
      </x:c>
      <x:c r="O81" s="195" t="n">
        <x:f>'Raw Data'!O81</x:f>
        <x:v>7905.728999999999</x:v>
      </x:c>
      <x:c r="P81" s="195" t="n">
        <x:f>'Raw Data'!P81</x:f>
        <x:v>8513.862000000001</x:v>
      </x:c>
      <x:c r="Q81" s="195" t="n">
        <x:f>'Raw Data'!Q81</x:f>
        <x:v>60913.09071718966</x:v>
      </x:c>
      <x:c r="R81" s="196" t="n">
        <x:f t="shared" si="3">IFERROR(N81/L81,0)</x:f>
        <x:v>0.27</x:v>
      </x:c>
      <x:c r="S81" s="196" t="n">
        <x:f t="shared" si="4">IFERROR(P81/L81,0)</x:f>
        <x:v>0.14</x:v>
      </x:c>
      <x:c r="T81" s="196" t="n">
        <x:f t="shared" si="5">IFERROR(L81/Q81,0)</x:f>
        <x:v>0.9983617525229022</x:v>
      </x:c>
    </x:row>
    <x:row r="82">
      <x:c r="A82" s="192" t="str">
        <x:f>'Raw Data'!A82</x:f>
        <x:v>ZOM-0078</x:v>
      </x:c>
      <x:c r="B82" s="193" t="n">
        <x:f>'Raw Data'!B82</x:f>
        <x:v>45735</x:v>
      </x:c>
      <x:c r="C82" s="236" t="str">
        <x:f>'Raw Data'!C82</x:f>
        <x:v>North</x:v>
      </x:c>
      <x:c r="D82" s="192" t="str">
        <x:f>'Raw Data'!D82</x:f>
        <x:v>Delhi</x:v>
      </x:c>
      <x:c r="E82" s="192" t="str">
        <x:f>'Raw Data'!E82</x:f>
        <x:v>South Indian</x:v>
      </x:c>
      <x:c r="F82" s="192" t="str">
        <x:f>'Raw Data'!F82</x:f>
        <x:v>New User</x:v>
      </x:c>
      <x:c r="G82" s="192" t="str">
        <x:f>'Raw Data'!G82</x:f>
        <x:v>New User Customer 31</x:v>
      </x:c>
      <x:c r="H82" s="192" t="n">
        <x:f>'Raw Data'!H82</x:f>
        <x:v>85</x:v>
      </x:c>
      <x:c r="I82" s="195" t="n">
        <x:f>'Raw Data'!I82</x:f>
        <x:v>372</x:v>
      </x:c>
      <x:c r="J82" s="196" t="n">
        <x:f>'Raw Data'!J82</x:f>
        <x:v>0.08</x:v>
      </x:c>
      <x:c r="K82" s="195" t="n">
        <x:f>'Raw Data'!K82</x:f>
        <x:v>31620</x:v>
      </x:c>
      <x:c r="L82" s="195" t="n">
        <x:f>'Raw Data'!L82</x:f>
        <x:v>29090.4</x:v>
      </x:c>
      <x:c r="M82" s="195" t="n">
        <x:f>'Raw Data'!M82</x:f>
        <x:v>21526.896</x:v>
      </x:c>
      <x:c r="N82" s="195" t="n">
        <x:f>'Raw Data'!N82</x:f>
        <x:v>7563.504000000001</x:v>
      </x:c>
      <x:c r="O82" s="195" t="n">
        <x:f>'Raw Data'!O82</x:f>
        <x:v>3781.7520000000004</x:v>
      </x:c>
      <x:c r="P82" s="195" t="n">
        <x:f>'Raw Data'!P82</x:f>
        <x:v>3781.7520000000004</x:v>
      </x:c>
      <x:c r="Q82" s="195" t="n">
        <x:f>'Raw Data'!Q82</x:f>
        <x:v>32004.294415968518</x:v>
      </x:c>
      <x:c r="R82" s="196" t="n">
        <x:f t="shared" si="3">IFERROR(N82/L82,0)</x:f>
        <x:v>0.26</x:v>
      </x:c>
      <x:c r="S82" s="196" t="n">
        <x:f t="shared" si="4">IFERROR(P82/L82,0)</x:f>
        <x:v>0.13</x:v>
      </x:c>
      <x:c r="T82" s="196" t="n">
        <x:f t="shared" si="5">IFERROR(L82/Q82,0)</x:f>
        <x:v>0.9089530180513953</x:v>
      </x:c>
    </x:row>
    <x:row r="83">
      <x:c r="A83" s="192" t="str">
        <x:f>'Raw Data'!A83</x:f>
        <x:v>ZOM-0079</x:v>
      </x:c>
      <x:c r="B83" s="193" t="n">
        <x:f>'Raw Data'!B83</x:f>
        <x:v>45736</x:v>
      </x:c>
      <x:c r="C83" s="236" t="str">
        <x:f>'Raw Data'!C83</x:f>
        <x:v>South</x:v>
      </x:c>
      <x:c r="D83" s="192" t="str">
        <x:f>'Raw Data'!D83</x:f>
        <x:v>Coimbatore</x:v>
      </x:c>
      <x:c r="E83" s="192" t="str">
        <x:f>'Raw Data'!E83</x:f>
        <x:v>Biryani</x:v>
      </x:c>
      <x:c r="F83" s="192" t="str">
        <x:f>'Raw Data'!F83</x:f>
        <x:v>Repeat User</x:v>
      </x:c>
      <x:c r="G83" s="192" t="str">
        <x:f>'Raw Data'!G83</x:f>
        <x:v>Repeat User Customer 27</x:v>
      </x:c>
      <x:c r="H83" s="192" t="n">
        <x:f>'Raw Data'!H83</x:f>
        <x:v>157</x:v>
      </x:c>
      <x:c r="I83" s="195" t="n">
        <x:f>'Raw Data'!I83</x:f>
        <x:v>478</x:v>
      </x:c>
      <x:c r="J83" s="196" t="n">
        <x:f>'Raw Data'!J83</x:f>
        <x:v>0.05</x:v>
      </x:c>
      <x:c r="K83" s="195" t="n">
        <x:f>'Raw Data'!K83</x:f>
        <x:v>75046</x:v>
      </x:c>
      <x:c r="L83" s="195" t="n">
        <x:f>'Raw Data'!L83</x:f>
        <x:v>71293.7</x:v>
      </x:c>
      <x:c r="M83" s="195" t="n">
        <x:f>'Raw Data'!M83</x:f>
        <x:v>52757.337999999996</x:v>
      </x:c>
      <x:c r="N83" s="195" t="n">
        <x:f>'Raw Data'!N83</x:f>
        <x:v>18536.362</x:v>
      </x:c>
      <x:c r="O83" s="195" t="n">
        <x:f>'Raw Data'!O83</x:f>
        <x:v>9268.181</x:v>
      </x:c>
      <x:c r="P83" s="195" t="n">
        <x:f>'Raw Data'!P83</x:f>
        <x:v>9268.181</x:v>
      </x:c>
      <x:c r="Q83" s="195" t="n">
        <x:f>'Raw Data'!Q83</x:f>
        <x:v>78052.39564854505</x:v>
      </x:c>
      <x:c r="R83" s="196" t="n">
        <x:f t="shared" si="3">IFERROR(N83/L83,0)</x:f>
        <x:v>0.26</x:v>
      </x:c>
      <x:c r="S83" s="196" t="n">
        <x:f t="shared" si="4">IFERROR(P83/L83,0)</x:f>
        <x:v>0.13</x:v>
      </x:c>
      <x:c r="T83" s="196" t="n">
        <x:f t="shared" si="5">IFERROR(L83/Q83,0)</x:f>
        <x:v>0.9134082228689282</x:v>
      </x:c>
    </x:row>
    <x:row r="84">
      <x:c r="A84" s="192" t="str">
        <x:f>'Raw Data'!A84</x:f>
        <x:v>ZOM-0080</x:v>
      </x:c>
      <x:c r="B84" s="193" t="n">
        <x:f>'Raw Data'!B84</x:f>
        <x:v>45737</x:v>
      </x:c>
      <x:c r="C84" s="236" t="str">
        <x:f>'Raw Data'!C84</x:f>
        <x:v>South</x:v>
      </x:c>
      <x:c r="D84" s="192" t="str">
        <x:f>'Raw Data'!D84</x:f>
        <x:v>Coimbatore</x:v>
      </x:c>
      <x:c r="E84" s="192" t="str">
        <x:f>'Raw Data'!E84</x:f>
        <x:v>Biryani</x:v>
      </x:c>
      <x:c r="F84" s="192" t="str">
        <x:f>'Raw Data'!F84</x:f>
        <x:v>New User</x:v>
      </x:c>
      <x:c r="G84" s="192" t="str">
        <x:f>'Raw Data'!G84</x:f>
        <x:v>New User Customer 22</x:v>
      </x:c>
      <x:c r="H84" s="192" t="n">
        <x:f>'Raw Data'!H84</x:f>
        <x:v>109</x:v>
      </x:c>
      <x:c r="I84" s="195" t="n">
        <x:f>'Raw Data'!I84</x:f>
        <x:v>543</x:v>
      </x:c>
      <x:c r="J84" s="196" t="n">
        <x:f>'Raw Data'!J84</x:f>
        <x:v>0.09</x:v>
      </x:c>
      <x:c r="K84" s="195" t="n">
        <x:f>'Raw Data'!K84</x:f>
        <x:v>59187</x:v>
      </x:c>
      <x:c r="L84" s="195" t="n">
        <x:f>'Raw Data'!L84</x:f>
        <x:v>53860.17</x:v>
      </x:c>
      <x:c r="M84" s="195" t="n">
        <x:f>'Raw Data'!M84</x:f>
        <x:v>39856.525799999996</x:v>
      </x:c>
      <x:c r="N84" s="195" t="n">
        <x:f>'Raw Data'!N84</x:f>
        <x:v>14003.644200000002</x:v>
      </x:c>
      <x:c r="O84" s="195" t="n">
        <x:f>'Raw Data'!O84</x:f>
        <x:v>7001.8221</x:v>
      </x:c>
      <x:c r="P84" s="195" t="n">
        <x:f>'Raw Data'!P84</x:f>
        <x:v>7001.822100000002</x:v>
      </x:c>
      <x:c r="Q84" s="195" t="n">
        <x:f>'Raw Data'!Q84</x:f>
        <x:v>56990.57512366215</x:v>
      </x:c>
      <x:c r="R84" s="196" t="n">
        <x:f t="shared" si="3">IFERROR(N84/L84,0)</x:f>
        <x:v>0.26000000000000006</x:v>
      </x:c>
      <x:c r="S84" s="196" t="n">
        <x:f t="shared" si="4">IFERROR(P84/L84,0)</x:f>
        <x:v>0.13000000000000003</x:v>
      </x:c>
      <x:c r="T84" s="196" t="n">
        <x:f t="shared" si="5">IFERROR(L84/Q84,0)</x:f>
        <x:v>0.9450715295139664</x:v>
      </x:c>
    </x:row>
    <x:row r="85">
      <x:c r="A85" s="192" t="str">
        <x:f>'Raw Data'!A85</x:f>
        <x:v>ZOM-0081</x:v>
      </x:c>
      <x:c r="B85" s="193" t="n">
        <x:f>'Raw Data'!B85</x:f>
        <x:v>45738</x:v>
      </x:c>
      <x:c r="C85" s="236" t="str">
        <x:f>'Raw Data'!C85</x:f>
        <x:v>West</x:v>
      </x:c>
      <x:c r="D85" s="192" t="str">
        <x:f>'Raw Data'!D85</x:f>
        <x:v>Nagpur</x:v>
      </x:c>
      <x:c r="E85" s="192" t="str">
        <x:f>'Raw Data'!E85</x:f>
        <x:v>Pizza</x:v>
      </x:c>
      <x:c r="F85" s="192" t="str">
        <x:f>'Raw Data'!F85</x:f>
        <x:v>Student</x:v>
      </x:c>
      <x:c r="G85" s="192" t="str">
        <x:f>'Raw Data'!G85</x:f>
        <x:v>Student Customer 03</x:v>
      </x:c>
      <x:c r="H85" s="192" t="n">
        <x:f>'Raw Data'!H85</x:f>
        <x:v>81</x:v>
      </x:c>
      <x:c r="I85" s="195" t="n">
        <x:f>'Raw Data'!I85</x:f>
        <x:v>770</x:v>
      </x:c>
      <x:c r="J85" s="196" t="n">
        <x:f>'Raw Data'!J85</x:f>
        <x:v>0.12</x:v>
      </x:c>
      <x:c r="K85" s="195" t="n">
        <x:f>'Raw Data'!K85</x:f>
        <x:v>62370</x:v>
      </x:c>
      <x:c r="L85" s="195" t="n">
        <x:f>'Raw Data'!L85</x:f>
        <x:v>54885.6</x:v>
      </x:c>
      <x:c r="M85" s="195" t="n">
        <x:f>'Raw Data'!M85</x:f>
        <x:v>40615.344</x:v>
      </x:c>
      <x:c r="N85" s="195" t="n">
        <x:f>'Raw Data'!N85</x:f>
        <x:v>14270.256000000001</x:v>
      </x:c>
      <x:c r="O85" s="195" t="n">
        <x:f>'Raw Data'!O85</x:f>
        <x:v>7135.128</x:v>
      </x:c>
      <x:c r="P85" s="195" t="n">
        <x:f>'Raw Data'!P85</x:f>
        <x:v>7135.1280000000015</x:v>
      </x:c>
      <x:c r="Q85" s="195" t="n">
        <x:f>'Raw Data'!Q85</x:f>
        <x:v>59993.54686110096</x:v>
      </x:c>
      <x:c r="R85" s="196" t="n">
        <x:f t="shared" si="3">IFERROR(N85/L85,0)</x:f>
        <x:v>0.26</x:v>
      </x:c>
      <x:c r="S85" s="196" t="n">
        <x:f t="shared" si="4">IFERROR(P85/L85,0)</x:f>
        <x:v>0.13000000000000003</x:v>
      </x:c>
      <x:c r="T85" s="196" t="n">
        <x:f t="shared" si="5">IFERROR(L85/Q85,0)</x:f>
        <x:v>0.9148583951382797</x:v>
      </x:c>
    </x:row>
    <x:row r="86">
      <x:c r="A86" s="192" t="str">
        <x:f>'Raw Data'!A86</x:f>
        <x:v>ZOM-0082</x:v>
      </x:c>
      <x:c r="B86" s="193" t="n">
        <x:f>'Raw Data'!B86</x:f>
        <x:v>45739</x:v>
      </x:c>
      <x:c r="C86" s="236" t="str">
        <x:f>'Raw Data'!C86</x:f>
        <x:v>South</x:v>
      </x:c>
      <x:c r="D86" s="192" t="str">
        <x:f>'Raw Data'!D86</x:f>
        <x:v>Kochi</x:v>
      </x:c>
      <x:c r="E86" s="192" t="str">
        <x:f>'Raw Data'!E86</x:f>
        <x:v>Desserts</x:v>
      </x:c>
      <x:c r="F86" s="192" t="str">
        <x:f>'Raw Data'!F86</x:f>
        <x:v>Budget</x:v>
      </x:c>
      <x:c r="G86" s="192" t="str">
        <x:f>'Raw Data'!G86</x:f>
        <x:v>Budget Customer 38</x:v>
      </x:c>
      <x:c r="H86" s="192" t="n">
        <x:f>'Raw Data'!H86</x:f>
        <x:v>103</x:v>
      </x:c>
      <x:c r="I86" s="195" t="n">
        <x:f>'Raw Data'!I86</x:f>
        <x:v>349</x:v>
      </x:c>
      <x:c r="J86" s="196" t="n">
        <x:f>'Raw Data'!J86</x:f>
        <x:v>0.1</x:v>
      </x:c>
      <x:c r="K86" s="195" t="n">
        <x:f>'Raw Data'!K86</x:f>
        <x:v>35947</x:v>
      </x:c>
      <x:c r="L86" s="195" t="n">
        <x:f>'Raw Data'!L86</x:f>
        <x:v>32352.3</x:v>
      </x:c>
      <x:c r="M86" s="195" t="n">
        <x:f>'Raw Data'!M86</x:f>
        <x:v>22323.087</x:v>
      </x:c>
      <x:c r="N86" s="195" t="n">
        <x:f>'Raw Data'!N86</x:f>
        <x:v>10029.213</x:v>
      </x:c>
      <x:c r="O86" s="195" t="n">
        <x:f>'Raw Data'!O86</x:f>
        <x:v>4205.799</x:v>
      </x:c>
      <x:c r="P86" s="195" t="n">
        <x:f>'Raw Data'!P86</x:f>
        <x:v>5823.414</x:v>
      </x:c>
      <x:c r="Q86" s="195" t="n">
        <x:f>'Raw Data'!Q86</x:f>
        <x:v>34302.33287717361</x:v>
      </x:c>
      <x:c r="R86" s="196" t="n">
        <x:f t="shared" si="3">IFERROR(N86/L86,0)</x:f>
        <x:v>0.31</x:v>
      </x:c>
      <x:c r="S86" s="196" t="n">
        <x:f t="shared" si="4">IFERROR(P86/L86,0)</x:f>
        <x:v>0.18</x:v>
      </x:c>
      <x:c r="T86" s="196" t="n">
        <x:f t="shared" si="5">IFERROR(L86/Q86,0)</x:f>
        <x:v>0.9431515960107991</x:v>
      </x:c>
    </x:row>
    <x:row r="87">
      <x:c r="A87" s="192" t="str">
        <x:f>'Raw Data'!A87</x:f>
        <x:v>ZOM-0083</x:v>
      </x:c>
      <x:c r="B87" s="193" t="n">
        <x:f>'Raw Data'!B87</x:f>
        <x:v>45740</x:v>
      </x:c>
      <x:c r="C87" s="236" t="str">
        <x:f>'Raw Data'!C87</x:f>
        <x:v>South</x:v>
      </x:c>
      <x:c r="D87" s="192" t="str">
        <x:f>'Raw Data'!D87</x:f>
        <x:v>Bengaluru</x:v>
      </x:c>
      <x:c r="E87" s="192" t="str">
        <x:f>'Raw Data'!E87</x:f>
        <x:v>Beverages</x:v>
      </x:c>
      <x:c r="F87" s="192" t="str">
        <x:f>'Raw Data'!F87</x:f>
        <x:v>Gold User</x:v>
      </x:c>
      <x:c r="G87" s="192" t="str">
        <x:f>'Raw Data'!G87</x:f>
        <x:v>Gold User Customer 10</x:v>
      </x:c>
      <x:c r="H87" s="192" t="n">
        <x:f>'Raw Data'!H87</x:f>
        <x:v>163</x:v>
      </x:c>
      <x:c r="I87" s="195" t="n">
        <x:f>'Raw Data'!I87</x:f>
        <x:v>267</x:v>
      </x:c>
      <x:c r="J87" s="196" t="n">
        <x:f>'Raw Data'!J87</x:f>
        <x:v>0.009999999999999998</x:v>
      </x:c>
      <x:c r="K87" s="195" t="n">
        <x:f>'Raw Data'!K87</x:f>
        <x:v>43521</x:v>
      </x:c>
      <x:c r="L87" s="195" t="n">
        <x:f>'Raw Data'!L87</x:f>
        <x:v>43085.79</x:v>
      </x:c>
      <x:c r="M87" s="195" t="n">
        <x:f>'Raw Data'!M87</x:f>
        <x:v>29298.337199999998</x:v>
      </x:c>
      <x:c r="N87" s="195" t="n">
        <x:f>'Raw Data'!N87</x:f>
        <x:v>13787.452800000003</x:v>
      </x:c>
      <x:c r="O87" s="195" t="n">
        <x:f>'Raw Data'!O87</x:f>
        <x:v>5601.152700000001</x:v>
      </x:c>
      <x:c r="P87" s="195" t="n">
        <x:f>'Raw Data'!P87</x:f>
        <x:v>8186.300100000002</x:v>
      </x:c>
      <x:c r="Q87" s="195" t="n">
        <x:f>'Raw Data'!Q87</x:f>
        <x:v>46471.20248716642</x:v>
      </x:c>
      <x:c r="R87" s="196" t="n">
        <x:f t="shared" si="3">IFERROR(N87/L87,0)</x:f>
        <x:v>0.32000000000000006</x:v>
      </x:c>
      <x:c r="S87" s="196" t="n">
        <x:f t="shared" si="4">IFERROR(P87/L87,0)</x:f>
        <x:v>0.19000000000000006</x:v>
      </x:c>
      <x:c r="T87" s="196" t="n">
        <x:f t="shared" si="5">IFERROR(L87/Q87,0)</x:f>
        <x:v>0.9271503144748333</x:v>
      </x:c>
    </x:row>
    <x:row r="88">
      <x:c r="A88" s="192" t="str">
        <x:f>'Raw Data'!A88</x:f>
        <x:v>ZOM-0084</x:v>
      </x:c>
      <x:c r="B88" s="193" t="n">
        <x:f>'Raw Data'!B88</x:f>
        <x:v>45741</x:v>
      </x:c>
      <x:c r="C88" s="236" t="str">
        <x:f>'Raw Data'!C88</x:f>
        <x:v>North</x:v>
      </x:c>
      <x:c r="D88" s="192" t="str">
        <x:f>'Raw Data'!D88</x:f>
        <x:v>Gurugram</x:v>
      </x:c>
      <x:c r="E88" s="192" t="str">
        <x:f>'Raw Data'!E88</x:f>
        <x:v>Pizza</x:v>
      </x:c>
      <x:c r="F88" s="192" t="str">
        <x:f>'Raw Data'!F88</x:f>
        <x:v>Budget</x:v>
      </x:c>
      <x:c r="G88" s="192" t="str">
        <x:f>'Raw Data'!G88</x:f>
        <x:v>Budget Customer 32</x:v>
      </x:c>
      <x:c r="H88" s="192" t="n">
        <x:f>'Raw Data'!H88</x:f>
        <x:v>66</x:v>
      </x:c>
      <x:c r="I88" s="195" t="n">
        <x:f>'Raw Data'!I88</x:f>
        <x:v>735</x:v>
      </x:c>
      <x:c r="J88" s="196" t="n">
        <x:f>'Raw Data'!J88</x:f>
        <x:v>0.11</x:v>
      </x:c>
      <x:c r="K88" s="195" t="n">
        <x:f>'Raw Data'!K88</x:f>
        <x:v>48510</x:v>
      </x:c>
      <x:c r="L88" s="195" t="n">
        <x:f>'Raw Data'!L88</x:f>
        <x:v>43173.9</x:v>
      </x:c>
      <x:c r="M88" s="195" t="n">
        <x:f>'Raw Data'!M88</x:f>
        <x:v>31948.686</x:v>
      </x:c>
      <x:c r="N88" s="195" t="n">
        <x:f>'Raw Data'!N88</x:f>
        <x:v>11225.214</x:v>
      </x:c>
      <x:c r="O88" s="195" t="n">
        <x:f>'Raw Data'!O88</x:f>
        <x:v>5612.607</x:v>
      </x:c>
      <x:c r="P88" s="195" t="n">
        <x:f>'Raw Data'!P88</x:f>
        <x:v>5612.607</x:v>
      </x:c>
      <x:c r="Q88" s="195" t="n">
        <x:f>'Raw Data'!Q88</x:f>
        <x:v>47771.602674247064</x:v>
      </x:c>
      <x:c r="R88" s="196" t="n">
        <x:f t="shared" si="3">IFERROR(N88/L88,0)</x:f>
        <x:v>0.26</x:v>
      </x:c>
      <x:c r="S88" s="196" t="n">
        <x:f t="shared" si="4">IFERROR(P88/L88,0)</x:f>
        <x:v>0.13</x:v>
      </x:c>
      <x:c r="T88" s="196" t="n">
        <x:f t="shared" si="5">IFERROR(L88/Q88,0)</x:f>
        <x:v>0.9037565746831095</x:v>
      </x:c>
    </x:row>
    <x:row r="89">
      <x:c r="A89" s="192" t="str">
        <x:f>'Raw Data'!A89</x:f>
        <x:v>ZOM-0085</x:v>
      </x:c>
      <x:c r="B89" s="193" t="n">
        <x:f>'Raw Data'!B89</x:f>
        <x:v>45742</x:v>
      </x:c>
      <x:c r="C89" s="236" t="str">
        <x:f>'Raw Data'!C89</x:f>
        <x:v>Metro</x:v>
      </x:c>
      <x:c r="D89" s="192" t="str">
        <x:f>'Raw Data'!D89</x:f>
        <x:v>Delhi</x:v>
      </x:c>
      <x:c r="E89" s="192" t="str">
        <x:f>'Raw Data'!E89</x:f>
        <x:v>Burgers</x:v>
      </x:c>
      <x:c r="F89" s="192" t="str">
        <x:f>'Raw Data'!F89</x:f>
        <x:v>Repeat User</x:v>
      </x:c>
      <x:c r="G89" s="192" t="str">
        <x:f>'Raw Data'!G89</x:f>
        <x:v>Repeat User Customer 56</x:v>
      </x:c>
      <x:c r="H89" s="192" t="n">
        <x:f>'Raw Data'!H89</x:f>
        <x:v>122</x:v>
      </x:c>
      <x:c r="I89" s="195" t="n">
        <x:f>'Raw Data'!I89</x:f>
        <x:v>512</x:v>
      </x:c>
      <x:c r="J89" s="196" t="n">
        <x:f>'Raw Data'!J89</x:f>
        <x:v>0.030000000000000002</x:v>
      </x:c>
      <x:c r="K89" s="195" t="n">
        <x:f>'Raw Data'!K89</x:f>
        <x:v>62464</x:v>
      </x:c>
      <x:c r="L89" s="195" t="n">
        <x:f>'Raw Data'!L89</x:f>
        <x:v>60590.08</x:v>
      </x:c>
      <x:c r="M89" s="195" t="n">
        <x:f>'Raw Data'!M89</x:f>
        <x:v>44836.6592</x:v>
      </x:c>
      <x:c r="N89" s="195" t="n">
        <x:f>'Raw Data'!N89</x:f>
        <x:v>15753.4208</x:v>
      </x:c>
      <x:c r="O89" s="195" t="n">
        <x:f>'Raw Data'!O89</x:f>
        <x:v>7876.710400000001</x:v>
      </x:c>
      <x:c r="P89" s="195" t="n">
        <x:f>'Raw Data'!P89</x:f>
        <x:v>7876.710399999999</x:v>
      </x:c>
      <x:c r="Q89" s="195" t="n">
        <x:f>'Raw Data'!Q89</x:f>
        <x:v>65197.93979747854</x:v>
      </x:c>
      <x:c r="R89" s="196" t="n">
        <x:f t="shared" si="3">IFERROR(N89/L89,0)</x:f>
        <x:v>0.26</x:v>
      </x:c>
      <x:c r="S89" s="196" t="n">
        <x:f t="shared" si="4">IFERROR(P89/L89,0)</x:f>
        <x:v>0.12999999999999998</x:v>
      </x:c>
      <x:c r="T89" s="196" t="n">
        <x:f t="shared" si="5">IFERROR(L89/Q89,0)</x:f>
        <x:v>0.9293250705192261</x:v>
      </x:c>
    </x:row>
    <x:row r="90">
      <x:c r="A90" s="192" t="str">
        <x:f>'Raw Data'!A90</x:f>
        <x:v>ZOM-0086</x:v>
      </x:c>
      <x:c r="B90" s="193" t="n">
        <x:f>'Raw Data'!B90</x:f>
        <x:v>45743</x:v>
      </x:c>
      <x:c r="C90" s="236" t="str">
        <x:f>'Raw Data'!C90</x:f>
        <x:v>North</x:v>
      </x:c>
      <x:c r="D90" s="192" t="str">
        <x:f>'Raw Data'!D90</x:f>
        <x:v>Noida</x:v>
      </x:c>
      <x:c r="E90" s="192" t="str">
        <x:f>'Raw Data'!E90</x:f>
        <x:v>Burgers</x:v>
      </x:c>
      <x:c r="F90" s="192" t="str">
        <x:f>'Raw Data'!F90</x:f>
        <x:v>Student</x:v>
      </x:c>
      <x:c r="G90" s="192" t="str">
        <x:f>'Raw Data'!G90</x:f>
        <x:v>Student Customer 34</x:v>
      </x:c>
      <x:c r="H90" s="192" t="n">
        <x:f>'Raw Data'!H90</x:f>
        <x:v>59</x:v>
      </x:c>
      <x:c r="I90" s="195" t="n">
        <x:f>'Raw Data'!I90</x:f>
        <x:v>393</x:v>
      </x:c>
      <x:c r="J90" s="196" t="n">
        <x:f>'Raw Data'!J90</x:f>
        <x:v>0.09999999999999999</x:v>
      </x:c>
      <x:c r="K90" s="195" t="n">
        <x:f>'Raw Data'!K90</x:f>
        <x:v>23187</x:v>
      </x:c>
      <x:c r="L90" s="195" t="n">
        <x:f>'Raw Data'!L90</x:f>
        <x:v>20868.3</x:v>
      </x:c>
      <x:c r="M90" s="195" t="n">
        <x:f>'Raw Data'!M90</x:f>
        <x:v>15442.542</x:v>
      </x:c>
      <x:c r="N90" s="195" t="n">
        <x:f>'Raw Data'!N90</x:f>
        <x:v>5425.758</x:v>
      </x:c>
      <x:c r="O90" s="195" t="n">
        <x:f>'Raw Data'!O90</x:f>
        <x:v>2712.879</x:v>
      </x:c>
      <x:c r="P90" s="195" t="n">
        <x:f>'Raw Data'!P90</x:f>
        <x:v>2712.879</x:v>
      </x:c>
      <x:c r="Q90" s="195" t="n">
        <x:f>'Raw Data'!Q90</x:f>
        <x:v>21232.83530011125</x:v>
      </x:c>
      <x:c r="R90" s="196" t="n">
        <x:f t="shared" si="3">IFERROR(N90/L90,0)</x:f>
        <x:v>0.26</x:v>
      </x:c>
      <x:c r="S90" s="196" t="n">
        <x:f t="shared" si="4">IFERROR(P90/L90,0)</x:f>
        <x:v>0.13</x:v>
      </x:c>
      <x:c r="T90" s="196" t="n">
        <x:f t="shared" si="5">IFERROR(L90/Q90,0)</x:f>
        <x:v>0.9828315298000103</x:v>
      </x:c>
    </x:row>
    <x:row r="91">
      <x:c r="A91" s="192" t="str">
        <x:f>'Raw Data'!A91</x:f>
        <x:v>ZOM-0087</x:v>
      </x:c>
      <x:c r="B91" s="193" t="n">
        <x:f>'Raw Data'!B91</x:f>
        <x:v>45744</x:v>
      </x:c>
      <x:c r="C91" s="236" t="str">
        <x:f>'Raw Data'!C91</x:f>
        <x:v>West</x:v>
      </x:c>
      <x:c r="D91" s="192" t="str">
        <x:f>'Raw Data'!D91</x:f>
        <x:v>Pune</x:v>
      </x:c>
      <x:c r="E91" s="192" t="str">
        <x:f>'Raw Data'!E91</x:f>
        <x:v>Biryani</x:v>
      </x:c>
      <x:c r="F91" s="192" t="str">
        <x:f>'Raw Data'!F91</x:f>
        <x:v>New User</x:v>
      </x:c>
      <x:c r="G91" s="192" t="str">
        <x:f>'Raw Data'!G91</x:f>
        <x:v>New User Customer 41</x:v>
      </x:c>
      <x:c r="H91" s="192" t="n">
        <x:f>'Raw Data'!H91</x:f>
        <x:v>124</x:v>
      </x:c>
      <x:c r="I91" s="195" t="n">
        <x:f>'Raw Data'!I91</x:f>
        <x:v>500</x:v>
      </x:c>
      <x:c r="J91" s="196" t="n">
        <x:f>'Raw Data'!J91</x:f>
        <x:v>0.08</x:v>
      </x:c>
      <x:c r="K91" s="195" t="n">
        <x:f>'Raw Data'!K91</x:f>
        <x:v>62000</x:v>
      </x:c>
      <x:c r="L91" s="195" t="n">
        <x:f>'Raw Data'!L91</x:f>
        <x:v>57040</x:v>
      </x:c>
      <x:c r="M91" s="195" t="n">
        <x:f>'Raw Data'!M91</x:f>
        <x:v>42209.6</x:v>
      </x:c>
      <x:c r="N91" s="195" t="n">
        <x:f>'Raw Data'!N91</x:f>
        <x:v>14830.400000000001</x:v>
      </x:c>
      <x:c r="O91" s="195" t="n">
        <x:f>'Raw Data'!O91</x:f>
        <x:v>7415.2</x:v>
      </x:c>
      <x:c r="P91" s="195" t="n">
        <x:f>'Raw Data'!P91</x:f>
        <x:v>7415.200000000002</x:v>
      </x:c>
      <x:c r="Q91" s="195" t="n">
        <x:f>'Raw Data'!Q91</x:f>
        <x:v>58629.283463511456</x:v>
      </x:c>
      <x:c r="R91" s="196" t="n">
        <x:f t="shared" si="3">IFERROR(N91/L91,0)</x:f>
        <x:v>0.26</x:v>
      </x:c>
      <x:c r="S91" s="196" t="n">
        <x:f t="shared" si="4">IFERROR(P91/L91,0)</x:f>
        <x:v>0.13000000000000003</x:v>
      </x:c>
      <x:c r="T91" s="196" t="n">
        <x:f t="shared" si="5">IFERROR(L91/Q91,0)</x:f>
        <x:v>0.9728926677996915</x:v>
      </x:c>
    </x:row>
    <x:row r="92">
      <x:c r="A92" s="192" t="str">
        <x:f>'Raw Data'!A92</x:f>
        <x:v>ZOM-0088</x:v>
      </x:c>
      <x:c r="B92" s="193" t="n">
        <x:f>'Raw Data'!B92</x:f>
        <x:v>45745</x:v>
      </x:c>
      <x:c r="C92" s="236" t="str">
        <x:f>'Raw Data'!C92</x:f>
        <x:v>South</x:v>
      </x:c>
      <x:c r="D92" s="192" t="str">
        <x:f>'Raw Data'!D92</x:f>
        <x:v>Chennai</x:v>
      </x:c>
      <x:c r="E92" s="192" t="str">
        <x:f>'Raw Data'!E92</x:f>
        <x:v>Burgers</x:v>
      </x:c>
      <x:c r="F92" s="192" t="str">
        <x:f>'Raw Data'!F92</x:f>
        <x:v>Student</x:v>
      </x:c>
      <x:c r="G92" s="192" t="str">
        <x:f>'Raw Data'!G92</x:f>
        <x:v>Student Customer 20</x:v>
      </x:c>
      <x:c r="H92" s="192" t="n">
        <x:f>'Raw Data'!H92</x:f>
        <x:v>107</x:v>
      </x:c>
      <x:c r="I92" s="195" t="n">
        <x:f>'Raw Data'!I92</x:f>
        <x:v>495</x:v>
      </x:c>
      <x:c r="J92" s="196" t="n">
        <x:f>'Raw Data'!J92</x:f>
        <x:v>0.12</x:v>
      </x:c>
      <x:c r="K92" s="195" t="n">
        <x:f>'Raw Data'!K92</x:f>
        <x:v>52965</x:v>
      </x:c>
      <x:c r="L92" s="195" t="n">
        <x:f>'Raw Data'!L92</x:f>
        <x:v>46609.2</x:v>
      </x:c>
      <x:c r="M92" s="195" t="n">
        <x:f>'Raw Data'!M92</x:f>
        <x:v>34490.808</x:v>
      </x:c>
      <x:c r="N92" s="195" t="n">
        <x:f>'Raw Data'!N92</x:f>
        <x:v>12118.392</x:v>
      </x:c>
      <x:c r="O92" s="195" t="n">
        <x:f>'Raw Data'!O92</x:f>
        <x:v>6059.196</x:v>
      </x:c>
      <x:c r="P92" s="195" t="n">
        <x:f>'Raw Data'!P92</x:f>
        <x:v>6059.196</x:v>
      </x:c>
      <x:c r="Q92" s="195" t="n">
        <x:f>'Raw Data'!Q92</x:f>
        <x:v>52133.238647133214</x:v>
      </x:c>
      <x:c r="R92" s="196" t="n">
        <x:f t="shared" si="3">IFERROR(N92/L92,0)</x:f>
        <x:v>0.26</x:v>
      </x:c>
      <x:c r="S92" s="196" t="n">
        <x:f t="shared" si="4">IFERROR(P92/L92,0)</x:f>
        <x:v>0.13</x:v>
      </x:c>
      <x:c r="T92" s="196" t="n">
        <x:f t="shared" si="5">IFERROR(L92/Q92,0)</x:f>
        <x:v>0.8940399869549064</x:v>
      </x:c>
    </x:row>
    <x:row r="93">
      <x:c r="A93" s="192" t="str">
        <x:f>'Raw Data'!A93</x:f>
        <x:v>ZOM-0089</x:v>
      </x:c>
      <x:c r="B93" s="193" t="n">
        <x:f>'Raw Data'!B93</x:f>
        <x:v>45746</x:v>
      </x:c>
      <x:c r="C93" s="236" t="str">
        <x:f>'Raw Data'!C93</x:f>
        <x:v>East</x:v>
      </x:c>
      <x:c r="D93" s="192" t="str">
        <x:f>'Raw Data'!D93</x:f>
        <x:v>Ranchi</x:v>
      </x:c>
      <x:c r="E93" s="192" t="str">
        <x:f>'Raw Data'!E93</x:f>
        <x:v>Burgers</x:v>
      </x:c>
      <x:c r="F93" s="192" t="str">
        <x:f>'Raw Data'!F93</x:f>
        <x:v>Gold User</x:v>
      </x:c>
      <x:c r="G93" s="192" t="str">
        <x:f>'Raw Data'!G93</x:f>
        <x:v>Gold User Customer 23</x:v>
      </x:c>
      <x:c r="H93" s="192" t="n">
        <x:f>'Raw Data'!H93</x:f>
        <x:v>110</x:v>
      </x:c>
      <x:c r="I93" s="195" t="n">
        <x:f>'Raw Data'!I93</x:f>
        <x:v>371</x:v>
      </x:c>
      <x:c r="J93" s="196" t="n">
        <x:f>'Raw Data'!J93</x:f>
        <x:v>0.04</x:v>
      </x:c>
      <x:c r="K93" s="195" t="n">
        <x:f>'Raw Data'!K93</x:f>
        <x:v>40810</x:v>
      </x:c>
      <x:c r="L93" s="195" t="n">
        <x:f>'Raw Data'!L93</x:f>
        <x:v>39177.6</x:v>
      </x:c>
      <x:c r="M93" s="195" t="n">
        <x:f>'Raw Data'!M93</x:f>
        <x:v>28991.424</x:v>
      </x:c>
      <x:c r="N93" s="195" t="n">
        <x:f>'Raw Data'!N93</x:f>
        <x:v>10186.176</x:v>
      </x:c>
      <x:c r="O93" s="195" t="n">
        <x:f>'Raw Data'!O93</x:f>
        <x:v>5093.088</x:v>
      </x:c>
      <x:c r="P93" s="195" t="n">
        <x:f>'Raw Data'!P93</x:f>
        <x:v>5093.088</x:v>
      </x:c>
      <x:c r="Q93" s="195" t="n">
        <x:f>'Raw Data'!Q93</x:f>
        <x:v>40970.51254894938</x:v>
      </x:c>
      <x:c r="R93" s="196" t="n">
        <x:f t="shared" si="3">IFERROR(N93/L93,0)</x:f>
        <x:v>0.26</x:v>
      </x:c>
      <x:c r="S93" s="196" t="n">
        <x:f t="shared" si="4">IFERROR(P93/L93,0)</x:f>
        <x:v>0.13</x:v>
      </x:c>
      <x:c r="T93" s="196" t="n">
        <x:f t="shared" si="5">IFERROR(L93/Q93,0)</x:f>
        <x:v>0.9562389524220059</x:v>
      </x:c>
    </x:row>
    <x:row r="94">
      <x:c r="A94" s="192" t="str">
        <x:f>'Raw Data'!A94</x:f>
        <x:v>ZOM-0090</x:v>
      </x:c>
      <x:c r="B94" s="193" t="n">
        <x:f>'Raw Data'!B94</x:f>
        <x:v>45747</x:v>
      </x:c>
      <x:c r="C94" s="236" t="str">
        <x:f>'Raw Data'!C94</x:f>
        <x:v>West</x:v>
      </x:c>
      <x:c r="D94" s="192" t="str">
        <x:f>'Raw Data'!D94</x:f>
        <x:v>Ahmedabad</x:v>
      </x:c>
      <x:c r="E94" s="192" t="str">
        <x:f>'Raw Data'!E94</x:f>
        <x:v>North Indian</x:v>
      </x:c>
      <x:c r="F94" s="192" t="str">
        <x:f>'Raw Data'!F94</x:f>
        <x:v>Budget</x:v>
      </x:c>
      <x:c r="G94" s="192" t="str">
        <x:f>'Raw Data'!G94</x:f>
        <x:v>Budget Customer 58</x:v>
      </x:c>
      <x:c r="H94" s="192" t="n">
        <x:f>'Raw Data'!H94</x:f>
        <x:v>108</x:v>
      </x:c>
      <x:c r="I94" s="195" t="n">
        <x:f>'Raw Data'!I94</x:f>
        <x:v>488</x:v>
      </x:c>
      <x:c r="J94" s="196" t="n">
        <x:f>'Raw Data'!J94</x:f>
        <x:v>0.08</x:v>
      </x:c>
      <x:c r="K94" s="195" t="n">
        <x:f>'Raw Data'!K94</x:f>
        <x:v>52704</x:v>
      </x:c>
      <x:c r="L94" s="195" t="n">
        <x:f>'Raw Data'!L94</x:f>
        <x:v>48487.68</x:v>
      </x:c>
      <x:c r="M94" s="195" t="n">
        <x:f>'Raw Data'!M94</x:f>
        <x:v>35396.0064</x:v>
      </x:c>
      <x:c r="N94" s="195" t="n">
        <x:f>'Raw Data'!N94</x:f>
        <x:v>13091.673600000002</x:v>
      </x:c>
      <x:c r="O94" s="195" t="n">
        <x:f>'Raw Data'!O94</x:f>
        <x:v>6303.3984</x:v>
      </x:c>
      <x:c r="P94" s="195" t="n">
        <x:f>'Raw Data'!P94</x:f>
        <x:v>6788.275200000002</x:v>
      </x:c>
      <x:c r="Q94" s="195" t="n">
        <x:f>'Raw Data'!Q94</x:f>
        <x:v>53333.57112706868</x:v>
      </x:c>
      <x:c r="R94" s="196" t="n">
        <x:f t="shared" si="3">IFERROR(N94/L94,0)</x:f>
        <x:v>0.27</x:v>
      </x:c>
      <x:c r="S94" s="196" t="n">
        <x:f t="shared" si="4">IFERROR(P94/L94,0)</x:f>
        <x:v>0.14000000000000004</x:v>
      </x:c>
      <x:c r="T94" s="196" t="n">
        <x:f t="shared" si="5">IFERROR(L94/Q94,0)</x:f>
        <x:v>0.9091399464790533</x:v>
      </x:c>
    </x:row>
    <x:row r="95">
      <x:c r="A95" s="192" t="str">
        <x:f>'Raw Data'!A95</x:f>
        <x:v>ZOM-0091</x:v>
      </x:c>
      <x:c r="B95" s="193" t="n">
        <x:f>'Raw Data'!B95</x:f>
        <x:v>45748</x:v>
      </x:c>
      <x:c r="C95" s="236" t="str">
        <x:f>'Raw Data'!C95</x:f>
        <x:v>South</x:v>
      </x:c>
      <x:c r="D95" s="192" t="str">
        <x:f>'Raw Data'!D95</x:f>
        <x:v>Hyderabad</x:v>
      </x:c>
      <x:c r="E95" s="192" t="str">
        <x:f>'Raw Data'!E95</x:f>
        <x:v>Chinese</x:v>
      </x:c>
      <x:c r="F95" s="192" t="str">
        <x:f>'Raw Data'!F95</x:f>
        <x:v>Repeat User</x:v>
      </x:c>
      <x:c r="G95" s="192" t="str">
        <x:f>'Raw Data'!G95</x:f>
        <x:v>Repeat User Customer 20</x:v>
      </x:c>
      <x:c r="H95" s="192" t="n">
        <x:f>'Raw Data'!H95</x:f>
        <x:v>94</x:v>
      </x:c>
      <x:c r="I95" s="195" t="n">
        <x:f>'Raw Data'!I95</x:f>
        <x:v>478</x:v>
      </x:c>
      <x:c r="J95" s="196" t="n">
        <x:f>'Raw Data'!J95</x:f>
        <x:v>0.05</x:v>
      </x:c>
      <x:c r="K95" s="195" t="n">
        <x:f>'Raw Data'!K95</x:f>
        <x:v>44932</x:v>
      </x:c>
      <x:c r="L95" s="195" t="n">
        <x:f>'Raw Data'!L95</x:f>
        <x:v>42685.4</x:v>
      </x:c>
      <x:c r="M95" s="195" t="n">
        <x:f>'Raw Data'!M95</x:f>
        <x:v>31587.196</x:v>
      </x:c>
      <x:c r="N95" s="195" t="n">
        <x:f>'Raw Data'!N95</x:f>
        <x:v>11098.204000000002</x:v>
      </x:c>
      <x:c r="O95" s="195" t="n">
        <x:f>'Raw Data'!O95</x:f>
        <x:v>5549.102000000001</x:v>
      </x:c>
      <x:c r="P95" s="195" t="n">
        <x:f>'Raw Data'!P95</x:f>
        <x:v>5549.102000000001</x:v>
      </x:c>
      <x:c r="Q95" s="195" t="n">
        <x:f>'Raw Data'!Q95</x:f>
        <x:v>45996.11689120827</x:v>
      </x:c>
      <x:c r="R95" s="196" t="n">
        <x:f t="shared" si="3">IFERROR(N95/L95,0)</x:f>
        <x:v>0.26</x:v>
      </x:c>
      <x:c r="S95" s="196" t="n">
        <x:f t="shared" si="4">IFERROR(P95/L95,0)</x:f>
        <x:v>0.13</x:v>
      </x:c>
      <x:c r="T95" s="196" t="n">
        <x:f t="shared" si="5">IFERROR(L95/Q95,0)</x:f>
        <x:v>0.9280218176017141</x:v>
      </x:c>
    </x:row>
    <x:row r="96">
      <x:c r="A96" s="192" t="str">
        <x:f>'Raw Data'!A96</x:f>
        <x:v>ZOM-0092</x:v>
      </x:c>
      <x:c r="B96" s="193" t="n">
        <x:f>'Raw Data'!B96</x:f>
        <x:v>45749</x:v>
      </x:c>
      <x:c r="C96" s="236" t="str">
        <x:f>'Raw Data'!C96</x:f>
        <x:v>Central</x:v>
      </x:c>
      <x:c r="D96" s="192" t="str">
        <x:f>'Raw Data'!D96</x:f>
        <x:v>Bhopal</x:v>
      </x:c>
      <x:c r="E96" s="192" t="str">
        <x:f>'Raw Data'!E96</x:f>
        <x:v>Chinese</x:v>
      </x:c>
      <x:c r="F96" s="192" t="str">
        <x:f>'Raw Data'!F96</x:f>
        <x:v>Budget</x:v>
      </x:c>
      <x:c r="G96" s="192" t="str">
        <x:f>'Raw Data'!G96</x:f>
        <x:v>Budget Customer 35</x:v>
      </x:c>
      <x:c r="H96" s="192" t="n">
        <x:f>'Raw Data'!H96</x:f>
        <x:v>53</x:v>
      </x:c>
      <x:c r="I96" s="195" t="n">
        <x:f>'Raw Data'!I96</x:f>
        <x:v>533</x:v>
      </x:c>
      <x:c r="J96" s="196" t="n">
        <x:f>'Raw Data'!J96</x:f>
        <x:v>0.1</x:v>
      </x:c>
      <x:c r="K96" s="195" t="n">
        <x:f>'Raw Data'!K96</x:f>
        <x:v>28249</x:v>
      </x:c>
      <x:c r="L96" s="195" t="n">
        <x:f>'Raw Data'!L96</x:f>
        <x:v>25424.100000000002</x:v>
      </x:c>
      <x:c r="M96" s="195" t="n">
        <x:f>'Raw Data'!M96</x:f>
        <x:v>18813.834000000003</x:v>
      </x:c>
      <x:c r="N96" s="195" t="n">
        <x:f>'Raw Data'!N96</x:f>
        <x:v>6610.266</x:v>
      </x:c>
      <x:c r="O96" s="195" t="n">
        <x:f>'Raw Data'!O96</x:f>
        <x:v>3305.1330000000003</x:v>
      </x:c>
      <x:c r="P96" s="195" t="n">
        <x:f>'Raw Data'!P96</x:f>
        <x:v>3305.1329999999994</x:v>
      </x:c>
      <x:c r="Q96" s="195" t="n">
        <x:f>'Raw Data'!Q96</x:f>
        <x:v>25827.305269667282</x:v>
      </x:c>
      <x:c r="R96" s="196" t="n">
        <x:f t="shared" si="3">IFERROR(N96/L96,0)</x:f>
        <x:v>0.25999999999999995</x:v>
      </x:c>
      <x:c r="S96" s="196" t="n">
        <x:f t="shared" si="4">IFERROR(P96/L96,0)</x:f>
        <x:v>0.12999999999999998</x:v>
      </x:c>
      <x:c r="T96" s="196" t="n">
        <x:f t="shared" si="5">IFERROR(L96/Q96,0)</x:f>
        <x:v>0.9843884112005745</x:v>
      </x:c>
    </x:row>
    <x:row r="97">
      <x:c r="A97" s="192" t="str">
        <x:f>'Raw Data'!A97</x:f>
        <x:v>ZOM-0093</x:v>
      </x:c>
      <x:c r="B97" s="193" t="n">
        <x:f>'Raw Data'!B97</x:f>
        <x:v>45750</x:v>
      </x:c>
      <x:c r="C97" s="236" t="str">
        <x:f>'Raw Data'!C97</x:f>
        <x:v>Metro</x:v>
      </x:c>
      <x:c r="D97" s="192" t="str">
        <x:f>'Raw Data'!D97</x:f>
        <x:v>Bengaluru</x:v>
      </x:c>
      <x:c r="E97" s="192" t="str">
        <x:f>'Raw Data'!E97</x:f>
        <x:v>Chinese</x:v>
      </x:c>
      <x:c r="F97" s="192" t="str">
        <x:f>'Raw Data'!F97</x:f>
        <x:v>Student</x:v>
      </x:c>
      <x:c r="G97" s="192" t="str">
        <x:f>'Raw Data'!G97</x:f>
        <x:v>Student Customer 52</x:v>
      </x:c>
      <x:c r="H97" s="192" t="n">
        <x:f>'Raw Data'!H97</x:f>
        <x:v>76</x:v>
      </x:c>
      <x:c r="I97" s="195" t="n">
        <x:f>'Raw Data'!I97</x:f>
        <x:v>409</x:v>
      </x:c>
      <x:c r="J97" s="196" t="n">
        <x:f>'Raw Data'!J97</x:f>
        <x:v>0.13</x:v>
      </x:c>
      <x:c r="K97" s="195" t="n">
        <x:f>'Raw Data'!K97</x:f>
        <x:v>31084</x:v>
      </x:c>
      <x:c r="L97" s="195" t="n">
        <x:f>'Raw Data'!L97</x:f>
        <x:v>27043.079999999998</x:v>
      </x:c>
      <x:c r="M97" s="195" t="n">
        <x:f>'Raw Data'!M97</x:f>
        <x:v>20011.8792</x:v>
      </x:c>
      <x:c r="N97" s="195" t="n">
        <x:f>'Raw Data'!N97</x:f>
        <x:v>7031.200799999999</x:v>
      </x:c>
      <x:c r="O97" s="195" t="n">
        <x:f>'Raw Data'!O97</x:f>
        <x:v>3515.6004</x:v>
      </x:c>
      <x:c r="P97" s="195" t="n">
        <x:f>'Raw Data'!P97</x:f>
        <x:v>3515.600399999999</x:v>
      </x:c>
      <x:c r="Q97" s="195" t="n">
        <x:f>'Raw Data'!Q97</x:f>
        <x:v>29867.66575233406</x:v>
      </x:c>
      <x:c r="R97" s="196" t="n">
        <x:f t="shared" si="3">IFERROR(N97/L97,0)</x:f>
        <x:v>0.25999999999999995</x:v>
      </x:c>
      <x:c r="S97" s="196" t="n">
        <x:f t="shared" si="4">IFERROR(P97/L97,0)</x:f>
        <x:v>0.12999999999999998</x:v>
      </x:c>
      <x:c r="T97" s="196" t="n">
        <x:f t="shared" si="5">IFERROR(L97/Q97,0)</x:f>
        <x:v>0.9054299798398766</x:v>
      </x:c>
    </x:row>
    <x:row r="98">
      <x:c r="A98" s="192" t="str">
        <x:f>'Raw Data'!A98</x:f>
        <x:v>ZOM-0094</x:v>
      </x:c>
      <x:c r="B98" s="193" t="n">
        <x:f>'Raw Data'!B98</x:f>
        <x:v>45751</x:v>
      </x:c>
      <x:c r="C98" s="236" t="str">
        <x:f>'Raw Data'!C98</x:f>
        <x:v>North</x:v>
      </x:c>
      <x:c r="D98" s="192" t="str">
        <x:f>'Raw Data'!D98</x:f>
        <x:v>Delhi</x:v>
      </x:c>
      <x:c r="E98" s="192" t="str">
        <x:f>'Raw Data'!E98</x:f>
        <x:v>North Indian</x:v>
      </x:c>
      <x:c r="F98" s="192" t="str">
        <x:f>'Raw Data'!F98</x:f>
        <x:v>Student</x:v>
      </x:c>
      <x:c r="G98" s="192" t="str">
        <x:f>'Raw Data'!G98</x:f>
        <x:v>Student Customer 08</x:v>
      </x:c>
      <x:c r="H98" s="192" t="n">
        <x:f>'Raw Data'!H98</x:f>
        <x:v>88</x:v>
      </x:c>
      <x:c r="I98" s="195" t="n">
        <x:f>'Raw Data'!I98</x:f>
        <x:v>643</x:v>
      </x:c>
      <x:c r="J98" s="196" t="n">
        <x:f>'Raw Data'!J98</x:f>
        <x:v>0.12</x:v>
      </x:c>
      <x:c r="K98" s="195" t="n">
        <x:f>'Raw Data'!K98</x:f>
        <x:v>56584</x:v>
      </x:c>
      <x:c r="L98" s="195" t="n">
        <x:f>'Raw Data'!L98</x:f>
        <x:v>49793.92</x:v>
      </x:c>
      <x:c r="M98" s="195" t="n">
        <x:f>'Raw Data'!M98</x:f>
        <x:v>36349.5616</x:v>
      </x:c>
      <x:c r="N98" s="195" t="n">
        <x:f>'Raw Data'!N98</x:f>
        <x:v>13444.358399999997</x:v>
      </x:c>
      <x:c r="O98" s="195" t="n">
        <x:f>'Raw Data'!O98</x:f>
        <x:v>6473.2096</x:v>
      </x:c>
      <x:c r="P98" s="195" t="n">
        <x:f>'Raw Data'!P98</x:f>
        <x:v>6971.148799999997</x:v>
      </x:c>
      <x:c r="Q98" s="195" t="n">
        <x:f>'Raw Data'!Q98</x:f>
        <x:v>51374.13151525532</x:v>
      </x:c>
      <x:c r="R98" s="196" t="n">
        <x:f t="shared" si="3">IFERROR(N98/L98,0)</x:f>
        <x:v>0.26999999999999996</x:v>
      </x:c>
      <x:c r="S98" s="196" t="n">
        <x:f t="shared" si="4">IFERROR(P98/L98,0)</x:f>
        <x:v>0.13999999999999996</x:v>
      </x:c>
      <x:c r="T98" s="196" t="n">
        <x:f t="shared" si="5">IFERROR(L98/Q98,0)</x:f>
        <x:v>0.9692411050338421</x:v>
      </x:c>
    </x:row>
    <x:row r="99">
      <x:c r="A99" s="192" t="str">
        <x:f>'Raw Data'!A99</x:f>
        <x:v>ZOM-0095</x:v>
      </x:c>
      <x:c r="B99" s="193" t="n">
        <x:f>'Raw Data'!B99</x:f>
        <x:v>45752</x:v>
      </x:c>
      <x:c r="C99" s="236" t="str">
        <x:f>'Raw Data'!C99</x:f>
        <x:v>West</x:v>
      </x:c>
      <x:c r="D99" s="192" t="str">
        <x:f>'Raw Data'!D99</x:f>
        <x:v>Ahmedabad</x:v>
      </x:c>
      <x:c r="E99" s="192" t="str">
        <x:f>'Raw Data'!E99</x:f>
        <x:v>Chinese</x:v>
      </x:c>
      <x:c r="F99" s="192" t="str">
        <x:f>'Raw Data'!F99</x:f>
        <x:v>Budget</x:v>
      </x:c>
      <x:c r="G99" s="192" t="str">
        <x:f>'Raw Data'!G99</x:f>
        <x:v>Budget Customer 21</x:v>
      </x:c>
      <x:c r="H99" s="192" t="n">
        <x:f>'Raw Data'!H99</x:f>
        <x:v>98</x:v>
      </x:c>
      <x:c r="I99" s="195" t="n">
        <x:f>'Raw Data'!I99</x:f>
        <x:v>381</x:v>
      </x:c>
      <x:c r="J99" s="196" t="n">
        <x:f>'Raw Data'!J99</x:f>
        <x:v>0.1</x:v>
      </x:c>
      <x:c r="K99" s="195" t="n">
        <x:f>'Raw Data'!K99</x:f>
        <x:v>37338</x:v>
      </x:c>
      <x:c r="L99" s="195" t="n">
        <x:f>'Raw Data'!L99</x:f>
        <x:v>33604.200000000004</x:v>
      </x:c>
      <x:c r="M99" s="195" t="n">
        <x:f>'Raw Data'!M99</x:f>
        <x:v>24867.108000000004</x:v>
      </x:c>
      <x:c r="N99" s="195" t="n">
        <x:f>'Raw Data'!N99</x:f>
        <x:v>8737.092</x:v>
      </x:c>
      <x:c r="O99" s="195" t="n">
        <x:f>'Raw Data'!O99</x:f>
        <x:v>4368.546</x:v>
      </x:c>
      <x:c r="P99" s="195" t="n">
        <x:f>'Raw Data'!P99</x:f>
        <x:v>4368.546</x:v>
      </x:c>
      <x:c r="Q99" s="195" t="n">
        <x:f>'Raw Data'!Q99</x:f>
        <x:v>37407.53331382983</x:v>
      </x:c>
      <x:c r="R99" s="196" t="n">
        <x:f t="shared" si="3">IFERROR(N99/L99,0)</x:f>
        <x:v>0.26</x:v>
      </x:c>
      <x:c r="S99" s="196" t="n">
        <x:f t="shared" si="4">IFERROR(P99/L99,0)</x:f>
        <x:v>0.13</x:v>
      </x:c>
      <x:c r="T99" s="196" t="n">
        <x:f t="shared" si="5">IFERROR(L99/Q99,0)</x:f>
        <x:v>0.8983270754069286</x:v>
      </x:c>
    </x:row>
    <x:row r="100">
      <x:c r="A100" s="192" t="str">
        <x:f>'Raw Data'!A100</x:f>
        <x:v>ZOM-0096</x:v>
      </x:c>
      <x:c r="B100" s="193" t="n">
        <x:f>'Raw Data'!B100</x:f>
        <x:v>45753</x:v>
      </x:c>
      <x:c r="C100" s="236" t="str">
        <x:f>'Raw Data'!C100</x:f>
        <x:v>Metro</x:v>
      </x:c>
      <x:c r="D100" s="192" t="str">
        <x:f>'Raw Data'!D100</x:f>
        <x:v>Mumbai</x:v>
      </x:c>
      <x:c r="E100" s="192" t="str">
        <x:f>'Raw Data'!E100</x:f>
        <x:v>Burgers</x:v>
      </x:c>
      <x:c r="F100" s="192" t="str">
        <x:f>'Raw Data'!F100</x:f>
        <x:v>Corporate</x:v>
      </x:c>
      <x:c r="G100" s="192" t="str">
        <x:f>'Raw Data'!G100</x:f>
        <x:v>Corporate Customer 03</x:v>
      </x:c>
      <x:c r="H100" s="192" t="n">
        <x:f>'Raw Data'!H100</x:f>
        <x:v>159</x:v>
      </x:c>
      <x:c r="I100" s="195" t="n">
        <x:f>'Raw Data'!I100</x:f>
        <x:v>497</x:v>
      </x:c>
      <x:c r="J100" s="196" t="n">
        <x:f>'Raw Data'!J100</x:f>
        <x:v>0.02</x:v>
      </x:c>
      <x:c r="K100" s="195" t="n">
        <x:f>'Raw Data'!K100</x:f>
        <x:v>79023</x:v>
      </x:c>
      <x:c r="L100" s="195" t="n">
        <x:f>'Raw Data'!L100</x:f>
        <x:v>77442.54</x:v>
      </x:c>
      <x:c r="M100" s="195" t="n">
        <x:f>'Raw Data'!M100</x:f>
        <x:v>57307.47959999999</x:v>
      </x:c>
      <x:c r="N100" s="195" t="n">
        <x:f>'Raw Data'!N100</x:f>
        <x:v>20135.060400000002</x:v>
      </x:c>
      <x:c r="O100" s="195" t="n">
        <x:f>'Raw Data'!O100</x:f>
        <x:v>10067.5302</x:v>
      </x:c>
      <x:c r="P100" s="195" t="n">
        <x:f>'Raw Data'!P100</x:f>
        <x:v>10067.530200000003</x:v>
      </x:c>
      <x:c r="Q100" s="195" t="n">
        <x:f>'Raw Data'!Q100</x:f>
        <x:v>77863.95266709315</x:v>
      </x:c>
      <x:c r="R100" s="196" t="n">
        <x:f t="shared" si="3">IFERROR(N100/L100,0)</x:f>
        <x:v>0.26000000000000006</x:v>
      </x:c>
      <x:c r="S100" s="196" t="n">
        <x:f t="shared" si="4">IFERROR(P100/L100,0)</x:f>
        <x:v>0.13000000000000006</x:v>
      </x:c>
      <x:c r="T100" s="196" t="n">
        <x:f t="shared" si="5">IFERROR(L100/Q100,0)</x:f>
        <x:v>0.9945878336167326</x:v>
      </x:c>
    </x:row>
    <x:row r="101">
      <x:c r="A101" s="192" t="str">
        <x:f>'Raw Data'!A101</x:f>
        <x:v>ZOM-0097</x:v>
      </x:c>
      <x:c r="B101" s="193" t="n">
        <x:f>'Raw Data'!B101</x:f>
        <x:v>45754</x:v>
      </x:c>
      <x:c r="C101" s="236" t="str">
        <x:f>'Raw Data'!C101</x:f>
        <x:v>South</x:v>
      </x:c>
      <x:c r="D101" s="192" t="str">
        <x:f>'Raw Data'!D101</x:f>
        <x:v>Kochi</x:v>
      </x:c>
      <x:c r="E101" s="192" t="str">
        <x:f>'Raw Data'!E101</x:f>
        <x:v>North Indian</x:v>
      </x:c>
      <x:c r="F101" s="192" t="str">
        <x:f>'Raw Data'!F101</x:f>
        <x:v>Repeat User</x:v>
      </x:c>
      <x:c r="G101" s="192" t="str">
        <x:f>'Raw Data'!G101</x:f>
        <x:v>Repeat User Customer 35</x:v>
      </x:c>
      <x:c r="H101" s="192" t="n">
        <x:f>'Raw Data'!H101</x:f>
        <x:v>138</x:v>
      </x:c>
      <x:c r="I101" s="195" t="n">
        <x:f>'Raw Data'!I101</x:f>
        <x:v>457</x:v>
      </x:c>
      <x:c r="J101" s="196" t="n">
        <x:f>'Raw Data'!J101</x:f>
        <x:v>0.060000000000000005</x:v>
      </x:c>
      <x:c r="K101" s="195" t="n">
        <x:f>'Raw Data'!K101</x:f>
        <x:v>63066</x:v>
      </x:c>
      <x:c r="L101" s="195" t="n">
        <x:f>'Raw Data'!L101</x:f>
        <x:v>59282.03999999999</x:v>
      </x:c>
      <x:c r="M101" s="195" t="n">
        <x:f>'Raw Data'!M101</x:f>
        <x:v>43275.8892</x:v>
      </x:c>
      <x:c r="N101" s="195" t="n">
        <x:f>'Raw Data'!N101</x:f>
        <x:v>16006.150799999996</x:v>
      </x:c>
      <x:c r="O101" s="195" t="n">
        <x:f>'Raw Data'!O101</x:f>
        <x:v>7706.6651999999995</x:v>
      </x:c>
      <x:c r="P101" s="195" t="n">
        <x:f>'Raw Data'!P101</x:f>
        <x:v>8299.485599999996</x:v>
      </x:c>
      <x:c r="Q101" s="195" t="n">
        <x:f>'Raw Data'!Q101</x:f>
        <x:v>64236.71902219461</x:v>
      </x:c>
      <x:c r="R101" s="196" t="n">
        <x:f t="shared" si="3">IFERROR(N101/L101,0)</x:f>
        <x:v>0.26999999999999996</x:v>
      </x:c>
      <x:c r="S101" s="196" t="n">
        <x:f t="shared" si="4">IFERROR(P101/L101,0)</x:f>
        <x:v>0.13999999999999996</x:v>
      </x:c>
      <x:c r="T101" s="196" t="n">
        <x:f t="shared" si="5">IFERROR(L101/Q101,0)</x:f>
        <x:v>0.9228684294961779</x:v>
      </x:c>
    </x:row>
    <x:row r="102">
      <x:c r="A102" s="192" t="str">
        <x:f>'Raw Data'!A102</x:f>
        <x:v>ZOM-0098</x:v>
      </x:c>
      <x:c r="B102" s="193" t="n">
        <x:f>'Raw Data'!B102</x:f>
        <x:v>45755</x:v>
      </x:c>
      <x:c r="C102" s="236" t="str">
        <x:f>'Raw Data'!C102</x:f>
        <x:v>West</x:v>
      </x:c>
      <x:c r="D102" s="192" t="str">
        <x:f>'Raw Data'!D102</x:f>
        <x:v>Pune</x:v>
      </x:c>
      <x:c r="E102" s="192" t="str">
        <x:f>'Raw Data'!E102</x:f>
        <x:v>Beverages</x:v>
      </x:c>
      <x:c r="F102" s="192" t="str">
        <x:f>'Raw Data'!F102</x:f>
        <x:v>Corporate</x:v>
      </x:c>
      <x:c r="G102" s="192" t="str">
        <x:f>'Raw Data'!G102</x:f>
        <x:v>Corporate Customer 16</x:v>
      </x:c>
      <x:c r="H102" s="192" t="n">
        <x:f>'Raw Data'!H102</x:f>
        <x:v>157</x:v>
      </x:c>
      <x:c r="I102" s="195" t="n">
        <x:f>'Raw Data'!I102</x:f>
        <x:v>239</x:v>
      </x:c>
      <x:c r="J102" s="196" t="n">
        <x:f>'Raw Data'!J102</x:f>
        <x:v>0.02</x:v>
      </x:c>
      <x:c r="K102" s="195" t="n">
        <x:f>'Raw Data'!K102</x:f>
        <x:v>37523</x:v>
      </x:c>
      <x:c r="L102" s="195" t="n">
        <x:f>'Raw Data'!L102</x:f>
        <x:v>36772.54</x:v>
      </x:c>
      <x:c r="M102" s="195" t="n">
        <x:f>'Raw Data'!M102</x:f>
        <x:v>25005.3272</x:v>
      </x:c>
      <x:c r="N102" s="195" t="n">
        <x:f>'Raw Data'!N102</x:f>
        <x:v>11767.212800000001</x:v>
      </x:c>
      <x:c r="O102" s="195" t="n">
        <x:f>'Raw Data'!O102</x:f>
        <x:v>4780.430200000001</x:v>
      </x:c>
      <x:c r="P102" s="195" t="n">
        <x:f>'Raw Data'!P102</x:f>
        <x:v>6986.7826000000005</x:v>
      </x:c>
      <x:c r="Q102" s="195" t="n">
        <x:f>'Raw Data'!Q102</x:f>
        <x:v>38729.05867209887</x:v>
      </x:c>
      <x:c r="R102" s="196" t="n">
        <x:f t="shared" si="3">IFERROR(N102/L102,0)</x:f>
        <x:v>0.32</x:v>
      </x:c>
      <x:c r="S102" s="196" t="n">
        <x:f t="shared" si="4">IFERROR(P102/L102,0)</x:f>
        <x:v>0.19</x:v>
      </x:c>
      <x:c r="T102" s="196" t="n">
        <x:f t="shared" si="5">IFERROR(L102/Q102,0)</x:f>
        <x:v>0.949481894495195</x:v>
      </x:c>
    </x:row>
    <x:row r="103">
      <x:c r="A103" s="192" t="str">
        <x:f>'Raw Data'!A103</x:f>
        <x:v>ZOM-0099</x:v>
      </x:c>
      <x:c r="B103" s="193" t="n">
        <x:f>'Raw Data'!B103</x:f>
        <x:v>45756</x:v>
      </x:c>
      <x:c r="C103" s="236" t="str">
        <x:f>'Raw Data'!C103</x:f>
        <x:v>Metro</x:v>
      </x:c>
      <x:c r="D103" s="192" t="str">
        <x:f>'Raw Data'!D103</x:f>
        <x:v>Delhi</x:v>
      </x:c>
      <x:c r="E103" s="192" t="str">
        <x:f>'Raw Data'!E103</x:f>
        <x:v>Snacks</x:v>
      </x:c>
      <x:c r="F103" s="192" t="str">
        <x:f>'Raw Data'!F103</x:f>
        <x:v>Repeat User</x:v>
      </x:c>
      <x:c r="G103" s="192" t="str">
        <x:f>'Raw Data'!G103</x:f>
        <x:v>Repeat User Customer 30</x:v>
      </x:c>
      <x:c r="H103" s="192" t="n">
        <x:f>'Raw Data'!H103</x:f>
        <x:v>123</x:v>
      </x:c>
      <x:c r="I103" s="195" t="n">
        <x:f>'Raw Data'!I103</x:f>
        <x:v>203</x:v>
      </x:c>
      <x:c r="J103" s="196" t="n">
        <x:f>'Raw Data'!J103</x:f>
        <x:v>0.05</x:v>
      </x:c>
      <x:c r="K103" s="195" t="n">
        <x:f>'Raw Data'!K103</x:f>
        <x:v>24969</x:v>
      </x:c>
      <x:c r="L103" s="195" t="n">
        <x:f>'Raw Data'!L103</x:f>
        <x:v>23720.55</x:v>
      </x:c>
      <x:c r="M103" s="195" t="n">
        <x:f>'Raw Data'!M103</x:f>
        <x:v>17553.207</x:v>
      </x:c>
      <x:c r="N103" s="195" t="n">
        <x:f>'Raw Data'!N103</x:f>
        <x:v>6167.343000000001</x:v>
      </x:c>
      <x:c r="O103" s="195" t="n">
        <x:f>'Raw Data'!O103</x:f>
        <x:v>3083.6715</x:v>
      </x:c>
      <x:c r="P103" s="195" t="n">
        <x:f>'Raw Data'!P103</x:f>
        <x:v>3083.671500000001</x:v>
      </x:c>
      <x:c r="Q103" s="195" t="n">
        <x:f>'Raw Data'!Q103</x:f>
        <x:v>26134.447637833462</x:v>
      </x:c>
      <x:c r="R103" s="196" t="n">
        <x:f t="shared" si="3">IFERROR(N103/L103,0)</x:f>
        <x:v>0.26000000000000006</x:v>
      </x:c>
      <x:c r="S103" s="196" t="n">
        <x:f t="shared" si="4">IFERROR(P103/L103,0)</x:f>
        <x:v>0.13000000000000003</x:v>
      </x:c>
      <x:c r="T103" s="196" t="n">
        <x:f t="shared" si="5">IFERROR(L103/Q103,0)</x:f>
        <x:v>0.9076354062926897</x:v>
      </x:c>
    </x:row>
    <x:row r="104">
      <x:c r="A104" s="192" t="str">
        <x:f>'Raw Data'!A104</x:f>
        <x:v>ZOM-0100</x:v>
      </x:c>
      <x:c r="B104" s="193" t="n">
        <x:f>'Raw Data'!B104</x:f>
        <x:v>45757</x:v>
      </x:c>
      <x:c r="C104" s="236" t="str">
        <x:f>'Raw Data'!C104</x:f>
        <x:v>North</x:v>
      </x:c>
      <x:c r="D104" s="192" t="str">
        <x:f>'Raw Data'!D104</x:f>
        <x:v>Noida</x:v>
      </x:c>
      <x:c r="E104" s="192" t="str">
        <x:f>'Raw Data'!E104</x:f>
        <x:v>Burgers</x:v>
      </x:c>
      <x:c r="F104" s="192" t="str">
        <x:f>'Raw Data'!F104</x:f>
        <x:v>Corporate</x:v>
      </x:c>
      <x:c r="G104" s="192" t="str">
        <x:f>'Raw Data'!G104</x:f>
        <x:v>Corporate Customer 05</x:v>
      </x:c>
      <x:c r="H104" s="192" t="n">
        <x:f>'Raw Data'!H104</x:f>
        <x:v>78</x:v>
      </x:c>
      <x:c r="I104" s="195" t="n">
        <x:f>'Raw Data'!I104</x:f>
        <x:v>345</x:v>
      </x:c>
      <x:c r="J104" s="196" t="n">
        <x:f>'Raw Data'!J104</x:f>
        <x:v>0.02</x:v>
      </x:c>
      <x:c r="K104" s="195" t="n">
        <x:f>'Raw Data'!K104</x:f>
        <x:v>26910</x:v>
      </x:c>
      <x:c r="L104" s="195" t="n">
        <x:f>'Raw Data'!L104</x:f>
        <x:v>26371.8</x:v>
      </x:c>
      <x:c r="M104" s="195" t="n">
        <x:f>'Raw Data'!M104</x:f>
        <x:v>19515.131999999998</x:v>
      </x:c>
      <x:c r="N104" s="195" t="n">
        <x:f>'Raw Data'!N104</x:f>
        <x:v>6856.6680000000015</x:v>
      </x:c>
      <x:c r="O104" s="195" t="n">
        <x:f>'Raw Data'!O104</x:f>
        <x:v>3428.334</x:v>
      </x:c>
      <x:c r="P104" s="195" t="n">
        <x:f>'Raw Data'!P104</x:f>
        <x:v>3428.3340000000017</x:v>
      </x:c>
      <x:c r="Q104" s="195" t="n">
        <x:f>'Raw Data'!Q104</x:f>
        <x:v>28158.472495805952</x:v>
      </x:c>
      <x:c r="R104" s="196" t="n">
        <x:f t="shared" si="3">IFERROR(N104/L104,0)</x:f>
        <x:v>0.26000000000000006</x:v>
      </x:c>
      <x:c r="S104" s="196" t="n">
        <x:f t="shared" si="4">IFERROR(P104/L104,0)</x:f>
        <x:v>0.13000000000000006</x:v>
      </x:c>
      <x:c r="T104" s="196" t="n">
        <x:f t="shared" si="5">IFERROR(L104/Q104,0)</x:f>
        <x:v>0.9365493815024211</x:v>
      </x:c>
    </x:row>
    <x:row r="105">
      <x:c r="A105" s="192" t="str">
        <x:f>'Raw Data'!A105</x:f>
        <x:v>ZOM-0101</x:v>
      </x:c>
      <x:c r="B105" s="193" t="n">
        <x:f>'Raw Data'!B105</x:f>
        <x:v>45758</x:v>
      </x:c>
      <x:c r="C105" s="236" t="str">
        <x:f>'Raw Data'!C105</x:f>
        <x:v>Central</x:v>
      </x:c>
      <x:c r="D105" s="192" t="str">
        <x:f>'Raw Data'!D105</x:f>
        <x:v>Varanasi</x:v>
      </x:c>
      <x:c r="E105" s="192" t="str">
        <x:f>'Raw Data'!E105</x:f>
        <x:v>Biryani</x:v>
      </x:c>
      <x:c r="F105" s="192" t="str">
        <x:f>'Raw Data'!F105</x:f>
        <x:v>Repeat User</x:v>
      </x:c>
      <x:c r="G105" s="192" t="str">
        <x:f>'Raw Data'!G105</x:f>
        <x:v>Repeat User Customer 10</x:v>
      </x:c>
      <x:c r="H105" s="192" t="n">
        <x:f>'Raw Data'!H105</x:f>
        <x:v>81</x:v>
      </x:c>
      <x:c r="I105" s="195" t="n">
        <x:f>'Raw Data'!I105</x:f>
        <x:v>442</x:v>
      </x:c>
      <x:c r="J105" s="196" t="n">
        <x:f>'Raw Data'!J105</x:f>
        <x:v>0.05</x:v>
      </x:c>
      <x:c r="K105" s="195" t="n">
        <x:f>'Raw Data'!K105</x:f>
        <x:v>35802</x:v>
      </x:c>
      <x:c r="L105" s="195" t="n">
        <x:f>'Raw Data'!L105</x:f>
        <x:v>34011.9</x:v>
      </x:c>
      <x:c r="M105" s="195" t="n">
        <x:f>'Raw Data'!M105</x:f>
        <x:v>25168.806</x:v>
      </x:c>
      <x:c r="N105" s="195" t="n">
        <x:f>'Raw Data'!N105</x:f>
        <x:v>8843.094000000001</x:v>
      </x:c>
      <x:c r="O105" s="195" t="n">
        <x:f>'Raw Data'!O105</x:f>
        <x:v>4421.5470000000005</x:v>
      </x:c>
      <x:c r="P105" s="195" t="n">
        <x:f>'Raw Data'!P105</x:f>
        <x:v>4421.5470000000005</x:v>
      </x:c>
      <x:c r="Q105" s="195" t="n">
        <x:f>'Raw Data'!Q105</x:f>
        <x:v>35143.577320060846</x:v>
      </x:c>
      <x:c r="R105" s="196" t="n">
        <x:f t="shared" si="3">IFERROR(N105/L105,0)</x:f>
        <x:v>0.26</x:v>
      </x:c>
      <x:c r="S105" s="196" t="n">
        <x:f t="shared" si="4">IFERROR(P105/L105,0)</x:f>
        <x:v>0.13</x:v>
      </x:c>
      <x:c r="T105" s="196" t="n">
        <x:f t="shared" si="5">IFERROR(L105/Q105,0)</x:f>
        <x:v>0.9677984597369131</x:v>
      </x:c>
    </x:row>
    <x:row r="106">
      <x:c r="A106" s="192" t="str">
        <x:f>'Raw Data'!A106</x:f>
        <x:v>ZOM-0102</x:v>
      </x:c>
      <x:c r="B106" s="193" t="n">
        <x:f>'Raw Data'!B106</x:f>
        <x:v>45759</x:v>
      </x:c>
      <x:c r="C106" s="236" t="str">
        <x:f>'Raw Data'!C106</x:f>
        <x:v>Metro</x:v>
      </x:c>
      <x:c r="D106" s="192" t="str">
        <x:f>'Raw Data'!D106</x:f>
        <x:v>Pune</x:v>
      </x:c>
      <x:c r="E106" s="192" t="str">
        <x:f>'Raw Data'!E106</x:f>
        <x:v>Biryani</x:v>
      </x:c>
      <x:c r="F106" s="192" t="str">
        <x:f>'Raw Data'!F106</x:f>
        <x:v>New User</x:v>
      </x:c>
      <x:c r="G106" s="192" t="str">
        <x:f>'Raw Data'!G106</x:f>
        <x:v>New User Customer 12</x:v>
      </x:c>
      <x:c r="H106" s="192" t="n">
        <x:f>'Raw Data'!H106</x:f>
        <x:v>74</x:v>
      </x:c>
      <x:c r="I106" s="195" t="n">
        <x:f>'Raw Data'!I106</x:f>
        <x:v>403</x:v>
      </x:c>
      <x:c r="J106" s="196" t="n">
        <x:f>'Raw Data'!J106</x:f>
        <x:v>0.08</x:v>
      </x:c>
      <x:c r="K106" s="195" t="n">
        <x:f>'Raw Data'!K106</x:f>
        <x:v>29822</x:v>
      </x:c>
      <x:c r="L106" s="195" t="n">
        <x:f>'Raw Data'!L106</x:f>
        <x:v>27436.24</x:v>
      </x:c>
      <x:c r="M106" s="195" t="n">
        <x:f>'Raw Data'!M106</x:f>
        <x:v>20302.817600000002</x:v>
      </x:c>
      <x:c r="N106" s="195" t="n">
        <x:f>'Raw Data'!N106</x:f>
        <x:v>7133.4223999999995</x:v>
      </x:c>
      <x:c r="O106" s="195" t="n">
        <x:f>'Raw Data'!O106</x:f>
        <x:v>3566.7112</x:v>
      </x:c>
      <x:c r="P106" s="195" t="n">
        <x:f>'Raw Data'!P106</x:f>
        <x:v>3566.7111999999993</x:v>
      </x:c>
      <x:c r="Q106" s="195" t="n">
        <x:f>'Raw Data'!Q106</x:f>
        <x:v>28502.208584264914</x:v>
      </x:c>
      <x:c r="R106" s="196" t="n">
        <x:f t="shared" si="3">IFERROR(N106/L106,0)</x:f>
        <x:v>0.25999999999999995</x:v>
      </x:c>
      <x:c r="S106" s="196" t="n">
        <x:f t="shared" si="4">IFERROR(P106/L106,0)</x:f>
        <x:v>0.12999999999999998</x:v>
      </x:c>
      <x:c r="T106" s="196" t="n">
        <x:f t="shared" si="5">IFERROR(L106/Q106,0)</x:f>
        <x:v>0.9626004917789636</x:v>
      </x:c>
    </x:row>
    <x:row r="107">
      <x:c r="A107" s="192" t="str">
        <x:f>'Raw Data'!A107</x:f>
        <x:v>ZOM-0103</x:v>
      </x:c>
      <x:c r="B107" s="193" t="n">
        <x:f>'Raw Data'!B107</x:f>
        <x:v>45760</x:v>
      </x:c>
      <x:c r="C107" s="236" t="str">
        <x:f>'Raw Data'!C107</x:f>
        <x:v>South</x:v>
      </x:c>
      <x:c r="D107" s="192" t="str">
        <x:f>'Raw Data'!D107</x:f>
        <x:v>Hyderabad</x:v>
      </x:c>
      <x:c r="E107" s="192" t="str">
        <x:f>'Raw Data'!E107</x:f>
        <x:v>Desserts</x:v>
      </x:c>
      <x:c r="F107" s="192" t="str">
        <x:f>'Raw Data'!F107</x:f>
        <x:v>Gold User</x:v>
      </x:c>
      <x:c r="G107" s="192" t="str">
        <x:f>'Raw Data'!G107</x:f>
        <x:v>Gold User Customer 40</x:v>
      </x:c>
      <x:c r="H107" s="192" t="n">
        <x:f>'Raw Data'!H107</x:f>
        <x:v>87</x:v>
      </x:c>
      <x:c r="I107" s="195" t="n">
        <x:f>'Raw Data'!I107</x:f>
        <x:v>287</x:v>
      </x:c>
      <x:c r="J107" s="196" t="n">
        <x:f>'Raw Data'!J107</x:f>
        <x:v>0.03</x:v>
      </x:c>
      <x:c r="K107" s="195" t="n">
        <x:f>'Raw Data'!K107</x:f>
        <x:v>24969</x:v>
      </x:c>
      <x:c r="L107" s="195" t="n">
        <x:f>'Raw Data'!L107</x:f>
        <x:v>24219.93</x:v>
      </x:c>
      <x:c r="M107" s="195" t="n">
        <x:f>'Raw Data'!M107</x:f>
        <x:v>16711.7517</x:v>
      </x:c>
      <x:c r="N107" s="195" t="n">
        <x:f>'Raw Data'!N107</x:f>
        <x:v>7508.1783</x:v>
      </x:c>
      <x:c r="O107" s="195" t="n">
        <x:f>'Raw Data'!O107</x:f>
        <x:v>3148.5909</x:v>
      </x:c>
      <x:c r="P107" s="195" t="n">
        <x:f>'Raw Data'!P107</x:f>
        <x:v>4359.587399999999</x:v>
      </x:c>
      <x:c r="Q107" s="195" t="n">
        <x:f>'Raw Data'!Q107</x:f>
        <x:v>25684.28253574852</x:v>
      </x:c>
      <x:c r="R107" s="196" t="n">
        <x:f t="shared" si="3">IFERROR(N107/L107,0)</x:f>
        <x:v>0.31</x:v>
      </x:c>
      <x:c r="S107" s="196" t="n">
        <x:f t="shared" si="4">IFERROR(P107/L107,0)</x:f>
        <x:v>0.17999999999999997</x:v>
      </x:c>
      <x:c r="T107" s="196" t="n">
        <x:f t="shared" si="5">IFERROR(L107/Q107,0)</x:f>
        <x:v>0.942986434068759</x:v>
      </x:c>
    </x:row>
    <x:row r="108">
      <x:c r="A108" s="192" t="str">
        <x:f>'Raw Data'!A108</x:f>
        <x:v>ZOM-0104</x:v>
      </x:c>
      <x:c r="B108" s="193" t="n">
        <x:f>'Raw Data'!B108</x:f>
        <x:v>45761</x:v>
      </x:c>
      <x:c r="C108" s="236" t="str">
        <x:f>'Raw Data'!C108</x:f>
        <x:v>North</x:v>
      </x:c>
      <x:c r="D108" s="192" t="str">
        <x:f>'Raw Data'!D108</x:f>
        <x:v>Lucknow</x:v>
      </x:c>
      <x:c r="E108" s="192" t="str">
        <x:f>'Raw Data'!E108</x:f>
        <x:v>Pizza</x:v>
      </x:c>
      <x:c r="F108" s="192" t="str">
        <x:f>'Raw Data'!F108</x:f>
        <x:v>Corporate</x:v>
      </x:c>
      <x:c r="G108" s="192" t="str">
        <x:f>'Raw Data'!G108</x:f>
        <x:v>Corporate Customer 46</x:v>
      </x:c>
      <x:c r="H108" s="192" t="n">
        <x:f>'Raw Data'!H108</x:f>
        <x:v>79</x:v>
      </x:c>
      <x:c r="I108" s="195" t="n">
        <x:f>'Raw Data'!I108</x:f>
        <x:v>525</x:v>
      </x:c>
      <x:c r="J108" s="196" t="n">
        <x:f>'Raw Data'!J108</x:f>
        <x:v>0.03</x:v>
      </x:c>
      <x:c r="K108" s="195" t="n">
        <x:f>'Raw Data'!K108</x:f>
        <x:v>41475</x:v>
      </x:c>
      <x:c r="L108" s="195" t="n">
        <x:f>'Raw Data'!L108</x:f>
        <x:v>40230.75</x:v>
      </x:c>
      <x:c r="M108" s="195" t="n">
        <x:f>'Raw Data'!M108</x:f>
        <x:v>29770.755</x:v>
      </x:c>
      <x:c r="N108" s="195" t="n">
        <x:f>'Raw Data'!N108</x:f>
        <x:v>10459.994999999999</x:v>
      </x:c>
      <x:c r="O108" s="195" t="n">
        <x:f>'Raw Data'!O108</x:f>
        <x:v>5229.9975</x:v>
      </x:c>
      <x:c r="P108" s="195" t="n">
        <x:f>'Raw Data'!P108</x:f>
        <x:v>5229.997499999999</x:v>
      </x:c>
      <x:c r="Q108" s="195" t="n">
        <x:f>'Raw Data'!Q108</x:f>
        <x:v>40751.95624552411</x:v>
      </x:c>
      <x:c r="R108" s="196" t="n">
        <x:f t="shared" si="3">IFERROR(N108/L108,0)</x:f>
        <x:v>0.25999999999999995</x:v>
      </x:c>
      <x:c r="S108" s="196" t="n">
        <x:f t="shared" si="4">IFERROR(P108/L108,0)</x:f>
        <x:v>0.12999999999999998</x:v>
      </x:c>
      <x:c r="T108" s="196" t="n">
        <x:f t="shared" si="5">IFERROR(L108/Q108,0)</x:f>
        <x:v>0.9872102766703045</x:v>
      </x:c>
    </x:row>
    <x:row r="109">
      <x:c r="A109" s="192" t="str">
        <x:f>'Raw Data'!A109</x:f>
        <x:v>ZOM-0105</x:v>
      </x:c>
      <x:c r="B109" s="193" t="n">
        <x:f>'Raw Data'!B109</x:f>
        <x:v>45762</x:v>
      </x:c>
      <x:c r="C109" s="236" t="str">
        <x:f>'Raw Data'!C109</x:f>
        <x:v>Metro</x:v>
      </x:c>
      <x:c r="D109" s="192" t="str">
        <x:f>'Raw Data'!D109</x:f>
        <x:v>Delhi</x:v>
      </x:c>
      <x:c r="E109" s="192" t="str">
        <x:f>'Raw Data'!E109</x:f>
        <x:v>Beverages</x:v>
      </x:c>
      <x:c r="F109" s="192" t="str">
        <x:f>'Raw Data'!F109</x:f>
        <x:v>Repeat User</x:v>
      </x:c>
      <x:c r="G109" s="192" t="str">
        <x:f>'Raw Data'!G109</x:f>
        <x:v>Repeat User Customer 25</x:v>
      </x:c>
      <x:c r="H109" s="192" t="n">
        <x:f>'Raw Data'!H109</x:f>
        <x:v>94</x:v>
      </x:c>
      <x:c r="I109" s="195" t="n">
        <x:f>'Raw Data'!I109</x:f>
        <x:v>187</x:v>
      </x:c>
      <x:c r="J109" s="196" t="n">
        <x:f>'Raw Data'!J109</x:f>
        <x:v>0.05</x:v>
      </x:c>
      <x:c r="K109" s="195" t="n">
        <x:f>'Raw Data'!K109</x:f>
        <x:v>17578</x:v>
      </x:c>
      <x:c r="L109" s="195" t="n">
        <x:f>'Raw Data'!L109</x:f>
        <x:v>16699.1</x:v>
      </x:c>
      <x:c r="M109" s="195" t="n">
        <x:f>'Raw Data'!M109</x:f>
        <x:v>11355.387999999997</x:v>
      </x:c>
      <x:c r="N109" s="195" t="n">
        <x:f>'Raw Data'!N109</x:f>
        <x:v>5343.712000000001</x:v>
      </x:c>
      <x:c r="O109" s="195" t="n">
        <x:f>'Raw Data'!O109</x:f>
        <x:v>2170.883</x:v>
      </x:c>
      <x:c r="P109" s="195" t="n">
        <x:f>'Raw Data'!P109</x:f>
        <x:v>3172.8290000000015</x:v>
      </x:c>
      <x:c r="Q109" s="195" t="n">
        <x:f>'Raw Data'!Q109</x:f>
        <x:v>18126.177291536304</x:v>
      </x:c>
      <x:c r="R109" s="196" t="n">
        <x:f t="shared" si="3">IFERROR(N109/L109,0)</x:f>
        <x:v>0.3200000000000001</x:v>
      </x:c>
      <x:c r="S109" s="196" t="n">
        <x:f t="shared" si="4">IFERROR(P109/L109,0)</x:f>
        <x:v>0.1900000000000001</x:v>
      </x:c>
      <x:c r="T109" s="196" t="n">
        <x:f t="shared" si="5">IFERROR(L109/Q109,0)</x:f>
        <x:v>0.9212698149982979</x:v>
      </x:c>
    </x:row>
    <x:row r="110">
      <x:c r="A110" s="192" t="str">
        <x:f>'Raw Data'!A110</x:f>
        <x:v>ZOM-0106</x:v>
      </x:c>
      <x:c r="B110" s="193" t="n">
        <x:f>'Raw Data'!B110</x:f>
        <x:v>45763</x:v>
      </x:c>
      <x:c r="C110" s="236" t="str">
        <x:f>'Raw Data'!C110</x:f>
        <x:v>Metro</x:v>
      </x:c>
      <x:c r="D110" s="192" t="str">
        <x:f>'Raw Data'!D110</x:f>
        <x:v>Pune</x:v>
      </x:c>
      <x:c r="E110" s="192" t="str">
        <x:f>'Raw Data'!E110</x:f>
        <x:v>Pizza</x:v>
      </x:c>
      <x:c r="F110" s="192" t="str">
        <x:f>'Raw Data'!F110</x:f>
        <x:v>Gold User</x:v>
      </x:c>
      <x:c r="G110" s="192" t="str">
        <x:f>'Raw Data'!G110</x:f>
        <x:v>Gold User Customer 47</x:v>
      </x:c>
      <x:c r="H110" s="192" t="n">
        <x:f>'Raw Data'!H110</x:f>
        <x:v>149</x:v>
      </x:c>
      <x:c r="I110" s="195" t="n">
        <x:f>'Raw Data'!I110</x:f>
        <x:v>535</x:v>
      </x:c>
      <x:c r="J110" s="196" t="n">
        <x:f>'Raw Data'!J110</x:f>
        <x:v>0.009999999999999998</x:v>
      </x:c>
      <x:c r="K110" s="195" t="n">
        <x:f>'Raw Data'!K110</x:f>
        <x:v>79715</x:v>
      </x:c>
      <x:c r="L110" s="195" t="n">
        <x:f>'Raw Data'!L110</x:f>
        <x:v>78917.85</x:v>
      </x:c>
      <x:c r="M110" s="195" t="n">
        <x:f>'Raw Data'!M110</x:f>
        <x:v>58399.209</x:v>
      </x:c>
      <x:c r="N110" s="195" t="n">
        <x:f>'Raw Data'!N110</x:f>
        <x:v>20518.641000000003</x:v>
      </x:c>
      <x:c r="O110" s="195" t="n">
        <x:f>'Raw Data'!O110</x:f>
        <x:v>10259.320500000002</x:v>
      </x:c>
      <x:c r="P110" s="195" t="n">
        <x:f>'Raw Data'!P110</x:f>
        <x:v>10259.320500000002</x:v>
      </x:c>
      <x:c r="Q110" s="195" t="n">
        <x:f>'Raw Data'!Q110</x:f>
        <x:v>86200.03624679956</x:v>
      </x:c>
      <x:c r="R110" s="196" t="n">
        <x:f t="shared" si="3">IFERROR(N110/L110,0)</x:f>
        <x:v>0.26</x:v>
      </x:c>
      <x:c r="S110" s="196" t="n">
        <x:f t="shared" si="4">IFERROR(P110/L110,0)</x:f>
        <x:v>0.13</x:v>
      </x:c>
      <x:c r="T110" s="196" t="n">
        <x:f t="shared" si="5">IFERROR(L110/Q110,0)</x:f>
        <x:v>0.915519916651196</x:v>
      </x:c>
    </x:row>
    <x:row r="111">
      <x:c r="A111" s="192" t="str">
        <x:f>'Raw Data'!A111</x:f>
        <x:v>ZOM-0107</x:v>
      </x:c>
      <x:c r="B111" s="193" t="n">
        <x:f>'Raw Data'!B111</x:f>
        <x:v>45764</x:v>
      </x:c>
      <x:c r="C111" s="236" t="str">
        <x:f>'Raw Data'!C111</x:f>
        <x:v>Metro</x:v>
      </x:c>
      <x:c r="D111" s="192" t="str">
        <x:f>'Raw Data'!D111</x:f>
        <x:v>Hyderabad</x:v>
      </x:c>
      <x:c r="E111" s="192" t="str">
        <x:f>'Raw Data'!E111</x:f>
        <x:v>South Indian</x:v>
      </x:c>
      <x:c r="F111" s="192" t="str">
        <x:f>'Raw Data'!F111</x:f>
        <x:v>Repeat User</x:v>
      </x:c>
      <x:c r="G111" s="192" t="str">
        <x:f>'Raw Data'!G111</x:f>
        <x:v>Repeat User Customer 43</x:v>
      </x:c>
      <x:c r="H111" s="192" t="n">
        <x:f>'Raw Data'!H111</x:f>
        <x:v>121</x:v>
      </x:c>
      <x:c r="I111" s="195" t="n">
        <x:f>'Raw Data'!I111</x:f>
        <x:v>423</x:v>
      </x:c>
      <x:c r="J111" s="196" t="n">
        <x:f>'Raw Data'!J111</x:f>
        <x:v>0.060000000000000005</x:v>
      </x:c>
      <x:c r="K111" s="195" t="n">
        <x:f>'Raw Data'!K111</x:f>
        <x:v>51183</x:v>
      </x:c>
      <x:c r="L111" s="195" t="n">
        <x:f>'Raw Data'!L111</x:f>
        <x:v>48112.02</x:v>
      </x:c>
      <x:c r="M111" s="195" t="n">
        <x:f>'Raw Data'!M111</x:f>
        <x:v>35602.894799999995</x:v>
      </x:c>
      <x:c r="N111" s="195" t="n">
        <x:f>'Raw Data'!N111</x:f>
        <x:v>12509.125200000002</x:v>
      </x:c>
      <x:c r="O111" s="195" t="n">
        <x:f>'Raw Data'!O111</x:f>
        <x:v>6254.5626</x:v>
      </x:c>
      <x:c r="P111" s="195" t="n">
        <x:f>'Raw Data'!P111</x:f>
        <x:v>6254.562600000002</x:v>
      </x:c>
      <x:c r="Q111" s="195" t="n">
        <x:f>'Raw Data'!Q111</x:f>
        <x:v>50575.91740854088</x:v>
      </x:c>
      <x:c r="R111" s="196" t="n">
        <x:f t="shared" si="3">IFERROR(N111/L111,0)</x:f>
        <x:v>0.26000000000000006</x:v>
      </x:c>
      <x:c r="S111" s="196" t="n">
        <x:f t="shared" si="4">IFERROR(P111/L111,0)</x:f>
        <x:v>0.13000000000000006</x:v>
      </x:c>
      <x:c r="T111" s="196" t="n">
        <x:f t="shared" si="5">IFERROR(L111/Q111,0)</x:f>
        <x:v>0.9512831890198239</x:v>
      </x:c>
    </x:row>
    <x:row r="112">
      <x:c r="A112" s="192" t="str">
        <x:f>'Raw Data'!A112</x:f>
        <x:v>ZOM-0108</x:v>
      </x:c>
      <x:c r="B112" s="193" t="n">
        <x:f>'Raw Data'!B112</x:f>
        <x:v>45765</x:v>
      </x:c>
      <x:c r="C112" s="236" t="str">
        <x:f>'Raw Data'!C112</x:f>
        <x:v>South</x:v>
      </x:c>
      <x:c r="D112" s="192" t="str">
        <x:f>'Raw Data'!D112</x:f>
        <x:v>Hyderabad</x:v>
      </x:c>
      <x:c r="E112" s="192" t="str">
        <x:f>'Raw Data'!E112</x:f>
        <x:v>Burgers</x:v>
      </x:c>
      <x:c r="F112" s="192" t="str">
        <x:f>'Raw Data'!F112</x:f>
        <x:v>Gold User</x:v>
      </x:c>
      <x:c r="G112" s="192" t="str">
        <x:f>'Raw Data'!G112</x:f>
        <x:v>Gold User Customer 09</x:v>
      </x:c>
      <x:c r="H112" s="192" t="n">
        <x:f>'Raw Data'!H112</x:f>
        <x:v>90</x:v>
      </x:c>
      <x:c r="I112" s="195" t="n">
        <x:f>'Raw Data'!I112</x:f>
        <x:v>483</x:v>
      </x:c>
      <x:c r="J112" s="196" t="n">
        <x:f>'Raw Data'!J112</x:f>
        <x:v>0.009999999999999998</x:v>
      </x:c>
      <x:c r="K112" s="195" t="n">
        <x:f>'Raw Data'!K112</x:f>
        <x:v>43470</x:v>
      </x:c>
      <x:c r="L112" s="195" t="n">
        <x:f>'Raw Data'!L112</x:f>
        <x:v>43035.3</x:v>
      </x:c>
      <x:c r="M112" s="195" t="n">
        <x:f>'Raw Data'!M112</x:f>
        <x:v>31846.122000000003</x:v>
      </x:c>
      <x:c r="N112" s="195" t="n">
        <x:f>'Raw Data'!N112</x:f>
        <x:v>11189.178</x:v>
      </x:c>
      <x:c r="O112" s="195" t="n">
        <x:f>'Raw Data'!O112</x:f>
        <x:v>5594.589000000001</x:v>
      </x:c>
      <x:c r="P112" s="195" t="n">
        <x:f>'Raw Data'!P112</x:f>
        <x:v>5594.588999999999</x:v>
      </x:c>
      <x:c r="Q112" s="195" t="n">
        <x:f>'Raw Data'!Q112</x:f>
        <x:v>44959.736326475984</x:v>
      </x:c>
      <x:c r="R112" s="196" t="n">
        <x:f t="shared" si="3">IFERROR(N112/L112,0)</x:f>
        <x:v>0.25999999999999995</x:v>
      </x:c>
      <x:c r="S112" s="196" t="n">
        <x:f t="shared" si="4">IFERROR(P112/L112,0)</x:f>
        <x:v>0.12999999999999998</x:v>
      </x:c>
      <x:c r="T112" s="196" t="n">
        <x:f t="shared" si="5">IFERROR(L112/Q112,0)</x:f>
        <x:v>0.9571964498968222</x:v>
      </x:c>
    </x:row>
    <x:row r="113">
      <x:c r="A113" s="192" t="str">
        <x:f>'Raw Data'!A113</x:f>
        <x:v>ZOM-0109</x:v>
      </x:c>
      <x:c r="B113" s="193" t="n">
        <x:f>'Raw Data'!B113</x:f>
        <x:v>45766</x:v>
      </x:c>
      <x:c r="C113" s="236" t="str">
        <x:f>'Raw Data'!C113</x:f>
        <x:v>West</x:v>
      </x:c>
      <x:c r="D113" s="192" t="str">
        <x:f>'Raw Data'!D113</x:f>
        <x:v>Nagpur</x:v>
      </x:c>
      <x:c r="E113" s="192" t="str">
        <x:f>'Raw Data'!E113</x:f>
        <x:v>Snacks</x:v>
      </x:c>
      <x:c r="F113" s="192" t="str">
        <x:f>'Raw Data'!F113</x:f>
        <x:v>Corporate</x:v>
      </x:c>
      <x:c r="G113" s="192" t="str">
        <x:f>'Raw Data'!G113</x:f>
        <x:v>Corporate Customer 39</x:v>
      </x:c>
      <x:c r="H113" s="192" t="n">
        <x:f>'Raw Data'!H113</x:f>
        <x:v>101</x:v>
      </x:c>
      <x:c r="I113" s="195" t="n">
        <x:f>'Raw Data'!I113</x:f>
        <x:v>239</x:v>
      </x:c>
      <x:c r="J113" s="196" t="n">
        <x:f>'Raw Data'!J113</x:f>
        <x:v>0.03</x:v>
      </x:c>
      <x:c r="K113" s="195" t="n">
        <x:f>'Raw Data'!K113</x:f>
        <x:v>24139</x:v>
      </x:c>
      <x:c r="L113" s="195" t="n">
        <x:f>'Raw Data'!L113</x:f>
        <x:v>23414.829999999998</x:v>
      </x:c>
      <x:c r="M113" s="195" t="n">
        <x:f>'Raw Data'!M113</x:f>
        <x:v>17326.974199999997</x:v>
      </x:c>
      <x:c r="N113" s="195" t="n">
        <x:f>'Raw Data'!N113</x:f>
        <x:v>6087.855800000001</x:v>
      </x:c>
      <x:c r="O113" s="195" t="n">
        <x:f>'Raw Data'!O113</x:f>
        <x:v>3043.9278999999997</x:v>
      </x:c>
      <x:c r="P113" s="195" t="n">
        <x:f>'Raw Data'!P113</x:f>
        <x:v>3043.9279000000015</x:v>
      </x:c>
      <x:c r="Q113" s="195" t="n">
        <x:f>'Raw Data'!Q113</x:f>
        <x:v>26135.816702068223</x:v>
      </x:c>
      <x:c r="R113" s="196" t="n">
        <x:f t="shared" si="3">IFERROR(N113/L113,0)</x:f>
        <x:v>0.26000000000000006</x:v>
      </x:c>
      <x:c r="S113" s="196" t="n">
        <x:f t="shared" si="4">IFERROR(P113/L113,0)</x:f>
        <x:v>0.1300000000000001</x:v>
      </x:c>
      <x:c r="T113" s="196" t="n">
        <x:f t="shared" si="5">IFERROR(L113/Q113,0)</x:f>
        <x:v>0.8958905040892445</x:v>
      </x:c>
    </x:row>
    <x:row r="114">
      <x:c r="A114" s="192" t="str">
        <x:f>'Raw Data'!A114</x:f>
        <x:v>ZOM-0110</x:v>
      </x:c>
      <x:c r="B114" s="193" t="n">
        <x:f>'Raw Data'!B114</x:f>
        <x:v>45767</x:v>
      </x:c>
      <x:c r="C114" s="236" t="str">
        <x:f>'Raw Data'!C114</x:f>
        <x:v>South</x:v>
      </x:c>
      <x:c r="D114" s="192" t="str">
        <x:f>'Raw Data'!D114</x:f>
        <x:v>Bengaluru</x:v>
      </x:c>
      <x:c r="E114" s="192" t="str">
        <x:f>'Raw Data'!E114</x:f>
        <x:v>Chinese</x:v>
      </x:c>
      <x:c r="F114" s="192" t="str">
        <x:f>'Raw Data'!F114</x:f>
        <x:v>Repeat User</x:v>
      </x:c>
      <x:c r="G114" s="192" t="str">
        <x:f>'Raw Data'!G114</x:f>
        <x:v>Repeat User Customer 18</x:v>
      </x:c>
      <x:c r="H114" s="192" t="n">
        <x:f>'Raw Data'!H114</x:f>
        <x:v>131</x:v>
      </x:c>
      <x:c r="I114" s="195" t="n">
        <x:f>'Raw Data'!I114</x:f>
        <x:v>403</x:v>
      </x:c>
      <x:c r="J114" s="196" t="n">
        <x:f>'Raw Data'!J114</x:f>
        <x:v>0.030000000000000002</x:v>
      </x:c>
      <x:c r="K114" s="195" t="n">
        <x:f>'Raw Data'!K114</x:f>
        <x:v>52793</x:v>
      </x:c>
      <x:c r="L114" s="195" t="n">
        <x:f>'Raw Data'!L114</x:f>
        <x:v>51209.21</x:v>
      </x:c>
      <x:c r="M114" s="195" t="n">
        <x:f>'Raw Data'!M114</x:f>
        <x:v>37894.8154</x:v>
      </x:c>
      <x:c r="N114" s="195" t="n">
        <x:f>'Raw Data'!N114</x:f>
        <x:v>13314.3946</x:v>
      </x:c>
      <x:c r="O114" s="195" t="n">
        <x:f>'Raw Data'!O114</x:f>
        <x:v>6657.1973</x:v>
      </x:c>
      <x:c r="P114" s="195" t="n">
        <x:f>'Raw Data'!P114</x:f>
        <x:v>6657.1973</x:v>
      </x:c>
      <x:c r="Q114" s="195" t="n">
        <x:f>'Raw Data'!Q114</x:f>
        <x:v>51915.19233757873</x:v>
      </x:c>
      <x:c r="R114" s="196" t="n">
        <x:f t="shared" si="3">IFERROR(N114/L114,0)</x:f>
        <x:v>0.26</x:v>
      </x:c>
      <x:c r="S114" s="196" t="n">
        <x:f t="shared" si="4">IFERROR(P114/L114,0)</x:f>
        <x:v>0.13</x:v>
      </x:c>
      <x:c r="T114" s="196" t="n">
        <x:f t="shared" si="5">IFERROR(L114/Q114,0)</x:f>
        <x:v>0.9864012381387691</x:v>
      </x:c>
    </x:row>
    <x:row r="115">
      <x:c r="A115" s="192" t="str">
        <x:f>'Raw Data'!A115</x:f>
        <x:v>ZOM-0111</x:v>
      </x:c>
      <x:c r="B115" s="193" t="n">
        <x:f>'Raw Data'!B115</x:f>
        <x:v>45768</x:v>
      </x:c>
      <x:c r="C115" s="236" t="str">
        <x:f>'Raw Data'!C115</x:f>
        <x:v>West</x:v>
      </x:c>
      <x:c r="D115" s="192" t="str">
        <x:f>'Raw Data'!D115</x:f>
        <x:v>Surat</x:v>
      </x:c>
      <x:c r="E115" s="192" t="str">
        <x:f>'Raw Data'!E115</x:f>
        <x:v>Healthy</x:v>
      </x:c>
      <x:c r="F115" s="192" t="str">
        <x:f>'Raw Data'!F115</x:f>
        <x:v>Student</x:v>
      </x:c>
      <x:c r="G115" s="192" t="str">
        <x:f>'Raw Data'!G115</x:f>
        <x:v>Student Customer 02</x:v>
      </x:c>
      <x:c r="H115" s="192" t="n">
        <x:f>'Raw Data'!H115</x:f>
        <x:v>119</x:v>
      </x:c>
      <x:c r="I115" s="195" t="n">
        <x:f>'Raw Data'!I115</x:f>
        <x:v>423</x:v>
      </x:c>
      <x:c r="J115" s="196" t="n">
        <x:f>'Raw Data'!J115</x:f>
        <x:v>0.09999999999999999</x:v>
      </x:c>
      <x:c r="K115" s="195" t="n">
        <x:f>'Raw Data'!K115</x:f>
        <x:v>50337</x:v>
      </x:c>
      <x:c r="L115" s="195" t="n">
        <x:f>'Raw Data'!L115</x:f>
        <x:v>45303.3</x:v>
      </x:c>
      <x:c r="M115" s="195" t="n">
        <x:f>'Raw Data'!M115</x:f>
        <x:v>31712.31</x:v>
      </x:c>
      <x:c r="N115" s="195" t="n">
        <x:f>'Raw Data'!N115</x:f>
        <x:v>13590.990000000002</x:v>
      </x:c>
      <x:c r="O115" s="195" t="n">
        <x:f>'Raw Data'!O115</x:f>
        <x:v>5889.429000000001</x:v>
      </x:c>
      <x:c r="P115" s="195" t="n">
        <x:f>'Raw Data'!P115</x:f>
        <x:v>7701.561000000001</x:v>
      </x:c>
      <x:c r="Q115" s="195" t="n">
        <x:f>'Raw Data'!Q115</x:f>
        <x:v>49073.28399177376</x:v>
      </x:c>
      <x:c r="R115" s="196" t="n">
        <x:f t="shared" si="3">IFERROR(N115/L115,0)</x:f>
        <x:v>0.3</x:v>
      </x:c>
      <x:c r="S115" s="196" t="n">
        <x:f t="shared" si="4">IFERROR(P115/L115,0)</x:f>
        <x:v>0.17</x:v>
      </x:c>
      <x:c r="T115" s="196" t="n">
        <x:f t="shared" si="5">IFERROR(L115/Q115,0)</x:f>
        <x:v>0.9231764478528536</x:v>
      </x:c>
    </x:row>
    <x:row r="116">
      <x:c r="A116" s="192" t="str">
        <x:f>'Raw Data'!A116</x:f>
        <x:v>ZOM-0112</x:v>
      </x:c>
      <x:c r="B116" s="193" t="n">
        <x:f>'Raw Data'!B116</x:f>
        <x:v>45769</x:v>
      </x:c>
      <x:c r="C116" s="236" t="str">
        <x:f>'Raw Data'!C116</x:f>
        <x:v>South</x:v>
      </x:c>
      <x:c r="D116" s="192" t="str">
        <x:f>'Raw Data'!D116</x:f>
        <x:v>Chennai</x:v>
      </x:c>
      <x:c r="E116" s="192" t="str">
        <x:f>'Raw Data'!E116</x:f>
        <x:v>Beverages</x:v>
      </x:c>
      <x:c r="F116" s="192" t="str">
        <x:f>'Raw Data'!F116</x:f>
        <x:v>Repeat User</x:v>
      </x:c>
      <x:c r="G116" s="192" t="str">
        <x:f>'Raw Data'!G116</x:f>
        <x:v>Repeat User Customer 06</x:v>
      </x:c>
      <x:c r="H116" s="192" t="n">
        <x:f>'Raw Data'!H116</x:f>
        <x:v>93</x:v>
      </x:c>
      <x:c r="I116" s="195" t="n">
        <x:f>'Raw Data'!I116</x:f>
        <x:v>263</x:v>
      </x:c>
      <x:c r="J116" s="196" t="n">
        <x:f>'Raw Data'!J116</x:f>
        <x:v>0.060000000000000005</x:v>
      </x:c>
      <x:c r="K116" s="195" t="n">
        <x:f>'Raw Data'!K116</x:f>
        <x:v>24459</x:v>
      </x:c>
      <x:c r="L116" s="195" t="n">
        <x:f>'Raw Data'!L116</x:f>
        <x:v>22991.46</x:v>
      </x:c>
      <x:c r="M116" s="195" t="n">
        <x:f>'Raw Data'!M116</x:f>
        <x:v>15634.192799999997</x:v>
      </x:c>
      <x:c r="N116" s="195" t="n">
        <x:f>'Raw Data'!N116</x:f>
        <x:v>7357.267200000002</x:v>
      </x:c>
      <x:c r="O116" s="195" t="n">
        <x:f>'Raw Data'!O116</x:f>
        <x:v>2988.8898</x:v>
      </x:c>
      <x:c r="P116" s="195" t="n">
        <x:f>'Raw Data'!P116</x:f>
        <x:v>4368.377400000002</x:v>
      </x:c>
      <x:c r="Q116" s="195" t="n">
        <x:f>'Raw Data'!Q116</x:f>
        <x:v>25672.660568557472</x:v>
      </x:c>
      <x:c r="R116" s="196" t="n">
        <x:f t="shared" si="3">IFERROR(N116/L116,0)</x:f>
        <x:v>0.3200000000000001</x:v>
      </x:c>
      <x:c r="S116" s="196" t="n">
        <x:f t="shared" si="4">IFERROR(P116/L116,0)</x:f>
        <x:v>0.1900000000000001</x:v>
      </x:c>
      <x:c r="T116" s="196" t="n">
        <x:f t="shared" si="5">IFERROR(L116/Q116,0)</x:f>
        <x:v>0.8955620294438331</x:v>
      </x:c>
    </x:row>
    <x:row r="117">
      <x:c r="A117" s="192" t="str">
        <x:f>'Raw Data'!A117</x:f>
        <x:v>ZOM-0113</x:v>
      </x:c>
      <x:c r="B117" s="193" t="n">
        <x:f>'Raw Data'!B117</x:f>
        <x:v>45770</x:v>
      </x:c>
      <x:c r="C117" s="236" t="str">
        <x:f>'Raw Data'!C117</x:f>
        <x:v>Central</x:v>
      </x:c>
      <x:c r="D117" s="192" t="str">
        <x:f>'Raw Data'!D117</x:f>
        <x:v>Indore</x:v>
      </x:c>
      <x:c r="E117" s="192" t="str">
        <x:f>'Raw Data'!E117</x:f>
        <x:v>Pizza</x:v>
      </x:c>
      <x:c r="F117" s="192" t="str">
        <x:f>'Raw Data'!F117</x:f>
        <x:v>Gold User</x:v>
      </x:c>
      <x:c r="G117" s="192" t="str">
        <x:f>'Raw Data'!G117</x:f>
        <x:v>Gold User Customer 04</x:v>
      </x:c>
      <x:c r="H117" s="192" t="n">
        <x:f>'Raw Data'!H117</x:f>
        <x:v>82</x:v>
      </x:c>
      <x:c r="I117" s="195" t="n">
        <x:f>'Raw Data'!I117</x:f>
        <x:v>607</x:v>
      </x:c>
      <x:c r="J117" s="196" t="n">
        <x:f>'Raw Data'!J117</x:f>
        <x:v>0.03</x:v>
      </x:c>
      <x:c r="K117" s="195" t="n">
        <x:f>'Raw Data'!K117</x:f>
        <x:v>49774</x:v>
      </x:c>
      <x:c r="L117" s="195" t="n">
        <x:f>'Raw Data'!L117</x:f>
        <x:v>48280.78</x:v>
      </x:c>
      <x:c r="M117" s="195" t="n">
        <x:f>'Raw Data'!M117</x:f>
        <x:v>35727.7772</x:v>
      </x:c>
      <x:c r="N117" s="195" t="n">
        <x:f>'Raw Data'!N117</x:f>
        <x:v>12553.002800000002</x:v>
      </x:c>
      <x:c r="O117" s="195" t="n">
        <x:f>'Raw Data'!O117</x:f>
        <x:v>6276.5014</x:v>
      </x:c>
      <x:c r="P117" s="195" t="n">
        <x:f>'Raw Data'!P117</x:f>
        <x:v>6276.501400000002</x:v>
      </x:c>
      <x:c r="Q117" s="195" t="n">
        <x:f>'Raw Data'!Q117</x:f>
        <x:v>48772.99505879073</x:v>
      </x:c>
      <x:c r="R117" s="196" t="n">
        <x:f t="shared" si="3">IFERROR(N117/L117,0)</x:f>
        <x:v>0.26000000000000006</x:v>
      </x:c>
      <x:c r="S117" s="196" t="n">
        <x:f t="shared" si="4">IFERROR(P117/L117,0)</x:f>
        <x:v>0.13000000000000003</x:v>
      </x:c>
      <x:c r="T117" s="196" t="n">
        <x:f t="shared" si="5">IFERROR(L117/Q117,0)</x:f>
        <x:v>0.9899080411568447</x:v>
      </x:c>
    </x:row>
    <x:row r="118">
      <x:c r="A118" s="192" t="str">
        <x:f>'Raw Data'!A118</x:f>
        <x:v>ZOM-0114</x:v>
      </x:c>
      <x:c r="B118" s="193" t="n">
        <x:f>'Raw Data'!B118</x:f>
        <x:v>45771</x:v>
      </x:c>
      <x:c r="C118" s="236" t="str">
        <x:f>'Raw Data'!C118</x:f>
        <x:v>North</x:v>
      </x:c>
      <x:c r="D118" s="192" t="str">
        <x:f>'Raw Data'!D118</x:f>
        <x:v>Lucknow</x:v>
      </x:c>
      <x:c r="E118" s="192" t="str">
        <x:f>'Raw Data'!E118</x:f>
        <x:v>North Indian</x:v>
      </x:c>
      <x:c r="F118" s="192" t="str">
        <x:f>'Raw Data'!F118</x:f>
        <x:v>New User</x:v>
      </x:c>
      <x:c r="G118" s="192" t="str">
        <x:f>'Raw Data'!G118</x:f>
        <x:v>New User Customer 33</x:v>
      </x:c>
      <x:c r="H118" s="192" t="n">
        <x:f>'Raw Data'!H118</x:f>
        <x:v>112</x:v>
      </x:c>
      <x:c r="I118" s="195" t="n">
        <x:f>'Raw Data'!I118</x:f>
        <x:v>574</x:v>
      </x:c>
      <x:c r="J118" s="196" t="n">
        <x:f>'Raw Data'!J118</x:f>
        <x:v>0.09</x:v>
      </x:c>
      <x:c r="K118" s="195" t="n">
        <x:f>'Raw Data'!K118</x:f>
        <x:v>64288</x:v>
      </x:c>
      <x:c r="L118" s="195" t="n">
        <x:f>'Raw Data'!L118</x:f>
        <x:v>58502.08</x:v>
      </x:c>
      <x:c r="M118" s="195" t="n">
        <x:f>'Raw Data'!M118</x:f>
        <x:v>42706.5184</x:v>
      </x:c>
      <x:c r="N118" s="195" t="n">
        <x:f>'Raw Data'!N118</x:f>
        <x:v>15795.5616</x:v>
      </x:c>
      <x:c r="O118" s="195" t="n">
        <x:f>'Raw Data'!O118</x:f>
        <x:v>7605.2704</x:v>
      </x:c>
      <x:c r="P118" s="195" t="n">
        <x:f>'Raw Data'!P118</x:f>
        <x:v>8190.291200000001</x:v>
      </x:c>
      <x:c r="Q118" s="195" t="n">
        <x:f>'Raw Data'!Q118</x:f>
        <x:v>60015.42794268473</x:v>
      </x:c>
      <x:c r="R118" s="196" t="n">
        <x:f t="shared" si="3">IFERROR(N118/L118,0)</x:f>
        <x:v>0.27</x:v>
      </x:c>
      <x:c r="S118" s="196" t="n">
        <x:f t="shared" si="4">IFERROR(P118/L118,0)</x:f>
        <x:v>0.14</x:v>
      </x:c>
      <x:c r="T118" s="196" t="n">
        <x:f t="shared" si="5">IFERROR(L118/Q118,0)</x:f>
        <x:v>0.9747840181339708</x:v>
      </x:c>
    </x:row>
    <x:row r="119">
      <x:c r="A119" s="192" t="str">
        <x:f>'Raw Data'!A119</x:f>
        <x:v>ZOM-0115</x:v>
      </x:c>
      <x:c r="B119" s="193" t="n">
        <x:f>'Raw Data'!B119</x:f>
        <x:v>45772</x:v>
      </x:c>
      <x:c r="C119" s="236" t="str">
        <x:f>'Raw Data'!C119</x:f>
        <x:v>North</x:v>
      </x:c>
      <x:c r="D119" s="192" t="str">
        <x:f>'Raw Data'!D119</x:f>
        <x:v>Jaipur</x:v>
      </x:c>
      <x:c r="E119" s="192" t="str">
        <x:f>'Raw Data'!E119</x:f>
        <x:v>North Indian</x:v>
      </x:c>
      <x:c r="F119" s="192" t="str">
        <x:f>'Raw Data'!F119</x:f>
        <x:v>Budget</x:v>
      </x:c>
      <x:c r="G119" s="192" t="str">
        <x:f>'Raw Data'!G119</x:f>
        <x:v>Budget Customer 01</x:v>
      </x:c>
      <x:c r="H119" s="192" t="n">
        <x:f>'Raw Data'!H119</x:f>
        <x:v>111</x:v>
      </x:c>
      <x:c r="I119" s="195" t="n">
        <x:f>'Raw Data'!I119</x:f>
        <x:v>535</x:v>
      </x:c>
      <x:c r="J119" s="196" t="n">
        <x:f>'Raw Data'!J119</x:f>
        <x:v>0.1</x:v>
      </x:c>
      <x:c r="K119" s="195" t="n">
        <x:f>'Raw Data'!K119</x:f>
        <x:v>59385</x:v>
      </x:c>
      <x:c r="L119" s="195" t="n">
        <x:f>'Raw Data'!L119</x:f>
        <x:v>53446.5</x:v>
      </x:c>
      <x:c r="M119" s="195" t="n">
        <x:f>'Raw Data'!M119</x:f>
        <x:v>39015.945</x:v>
      </x:c>
      <x:c r="N119" s="195" t="n">
        <x:f>'Raw Data'!N119</x:f>
        <x:v>14430.555</x:v>
      </x:c>
      <x:c r="O119" s="195" t="n">
        <x:f>'Raw Data'!O119</x:f>
        <x:v>6948.045</x:v>
      </x:c>
      <x:c r="P119" s="195" t="n">
        <x:f>'Raw Data'!P119</x:f>
        <x:v>7482.51</x:v>
      </x:c>
      <x:c r="Q119" s="195" t="n">
        <x:f>'Raw Data'!Q119</x:f>
        <x:v>57290.31855735979</x:v>
      </x:c>
      <x:c r="R119" s="196" t="n">
        <x:f t="shared" si="3">IFERROR(N119/L119,0)</x:f>
        <x:v>0.27</x:v>
      </x:c>
      <x:c r="S119" s="196" t="n">
        <x:f t="shared" si="4">IFERROR(P119/L119,0)</x:f>
        <x:v>0.14</x:v>
      </x:c>
      <x:c r="T119" s="196" t="n">
        <x:f t="shared" si="5">IFERROR(L119/Q119,0)</x:f>
        <x:v>0.9329063155145261</x:v>
      </x:c>
    </x:row>
    <x:row r="120">
      <x:c r="A120" s="192" t="str">
        <x:f>'Raw Data'!A120</x:f>
        <x:v>ZOM-0116</x:v>
      </x:c>
      <x:c r="B120" s="193" t="n">
        <x:f>'Raw Data'!B120</x:f>
        <x:v>45773</x:v>
      </x:c>
      <x:c r="C120" s="236" t="str">
        <x:f>'Raw Data'!C120</x:f>
        <x:v>South</x:v>
      </x:c>
      <x:c r="D120" s="192" t="str">
        <x:f>'Raw Data'!D120</x:f>
        <x:v>Hyderabad</x:v>
      </x:c>
      <x:c r="E120" s="192" t="str">
        <x:f>'Raw Data'!E120</x:f>
        <x:v>Desserts</x:v>
      </x:c>
      <x:c r="F120" s="192" t="str">
        <x:f>'Raw Data'!F120</x:f>
        <x:v>Budget</x:v>
      </x:c>
      <x:c r="G120" s="192" t="str">
        <x:f>'Raw Data'!G120</x:f>
        <x:v>Budget Customer 35</x:v>
      </x:c>
      <x:c r="H120" s="192" t="n">
        <x:f>'Raw Data'!H120</x:f>
        <x:v>87</x:v>
      </x:c>
      <x:c r="I120" s="195" t="n">
        <x:f>'Raw Data'!I120</x:f>
        <x:v>269</x:v>
      </x:c>
      <x:c r="J120" s="196" t="n">
        <x:f>'Raw Data'!J120</x:f>
        <x:v>0.08</x:v>
      </x:c>
      <x:c r="K120" s="195" t="n">
        <x:f>'Raw Data'!K120</x:f>
        <x:v>23403</x:v>
      </x:c>
      <x:c r="L120" s="195" t="n">
        <x:f>'Raw Data'!L120</x:f>
        <x:v>21530.760000000002</x:v>
      </x:c>
      <x:c r="M120" s="195" t="n">
        <x:f>'Raw Data'!M120</x:f>
        <x:v>14856.224400000001</x:v>
      </x:c>
      <x:c r="N120" s="195" t="n">
        <x:f>'Raw Data'!N120</x:f>
        <x:v>6674.535600000001</x:v>
      </x:c>
      <x:c r="O120" s="195" t="n">
        <x:f>'Raw Data'!O120</x:f>
        <x:v>2798.9988000000003</x:v>
      </x:c>
      <x:c r="P120" s="195" t="n">
        <x:f>'Raw Data'!P120</x:f>
        <x:v>3875.5368000000008</x:v>
      </x:c>
      <x:c r="Q120" s="195" t="n">
        <x:f>'Raw Data'!Q120</x:f>
        <x:v>21864.535960801113</x:v>
      </x:c>
      <x:c r="R120" s="196" t="n">
        <x:f t="shared" si="3">IFERROR(N120/L120,0)</x:f>
        <x:v>0.31</x:v>
      </x:c>
      <x:c r="S120" s="196" t="n">
        <x:f t="shared" si="4">IFERROR(P120/L120,0)</x:f>
        <x:v>0.18000000000000002</x:v>
      </x:c>
      <x:c r="T120" s="196" t="n">
        <x:f t="shared" si="5">IFERROR(L120/Q120,0)</x:f>
        <x:v>0.98473436795551</x:v>
      </x:c>
    </x:row>
    <x:row r="121">
      <x:c r="A121" s="192" t="str">
        <x:f>'Raw Data'!A121</x:f>
        <x:v>ZOM-0117</x:v>
      </x:c>
      <x:c r="B121" s="193" t="n">
        <x:f>'Raw Data'!B121</x:f>
        <x:v>45774</x:v>
      </x:c>
      <x:c r="C121" s="236" t="str">
        <x:f>'Raw Data'!C121</x:f>
        <x:v>East</x:v>
      </x:c>
      <x:c r="D121" s="192" t="str">
        <x:f>'Raw Data'!D121</x:f>
        <x:v>Guwahati</x:v>
      </x:c>
      <x:c r="E121" s="192" t="str">
        <x:f>'Raw Data'!E121</x:f>
        <x:v>Chinese</x:v>
      </x:c>
      <x:c r="F121" s="192" t="str">
        <x:f>'Raw Data'!F121</x:f>
        <x:v>Budget</x:v>
      </x:c>
      <x:c r="G121" s="192" t="str">
        <x:f>'Raw Data'!G121</x:f>
        <x:v>Budget Customer 21</x:v>
      </x:c>
      <x:c r="H121" s="192" t="n">
        <x:f>'Raw Data'!H121</x:f>
        <x:v>79</x:v>
      </x:c>
      <x:c r="I121" s="195" t="n">
        <x:f>'Raw Data'!I121</x:f>
        <x:v>374</x:v>
      </x:c>
      <x:c r="J121" s="196" t="n">
        <x:f>'Raw Data'!J121</x:f>
        <x:v>0.08</x:v>
      </x:c>
      <x:c r="K121" s="195" t="n">
        <x:f>'Raw Data'!K121</x:f>
        <x:v>29546</x:v>
      </x:c>
      <x:c r="L121" s="195" t="n">
        <x:f>'Raw Data'!L121</x:f>
        <x:v>27182.32</x:v>
      </x:c>
      <x:c r="M121" s="195" t="n">
        <x:f>'Raw Data'!M121</x:f>
        <x:v>20114.9168</x:v>
      </x:c>
      <x:c r="N121" s="195" t="n">
        <x:f>'Raw Data'!N121</x:f>
        <x:v>7067.403200000001</x:v>
      </x:c>
      <x:c r="O121" s="195" t="n">
        <x:f>'Raw Data'!O121</x:f>
        <x:v>3533.7016</x:v>
      </x:c>
      <x:c r="P121" s="195" t="n">
        <x:f>'Raw Data'!P121</x:f>
        <x:v>3533.701600000001</x:v>
      </x:c>
      <x:c r="Q121" s="195" t="n">
        <x:f>'Raw Data'!Q121</x:f>
        <x:v>27436.298371845118</x:v>
      </x:c>
      <x:c r="R121" s="196" t="n">
        <x:f t="shared" si="3">IFERROR(N121/L121,0)</x:f>
        <x:v>0.26</x:v>
      </x:c>
      <x:c r="S121" s="196" t="n">
        <x:f t="shared" si="4">IFERROR(P121/L121,0)</x:f>
        <x:v>0.13000000000000003</x:v>
      </x:c>
      <x:c r="T121" s="196" t="n">
        <x:f t="shared" si="5">IFERROR(L121/Q121,0)</x:f>
        <x:v>0.9907429796686513</x:v>
      </x:c>
    </x:row>
    <x:row r="122">
      <x:c r="A122" s="192" t="str">
        <x:f>'Raw Data'!A122</x:f>
        <x:v>ZOM-0118</x:v>
      </x:c>
      <x:c r="B122" s="193" t="n">
        <x:f>'Raw Data'!B122</x:f>
        <x:v>45775</x:v>
      </x:c>
      <x:c r="C122" s="236" t="str">
        <x:f>'Raw Data'!C122</x:f>
        <x:v>West</x:v>
      </x:c>
      <x:c r="D122" s="192" t="str">
        <x:f>'Raw Data'!D122</x:f>
        <x:v>Nagpur</x:v>
      </x:c>
      <x:c r="E122" s="192" t="str">
        <x:f>'Raw Data'!E122</x:f>
        <x:v>South Indian</x:v>
      </x:c>
      <x:c r="F122" s="192" t="str">
        <x:f>'Raw Data'!F122</x:f>
        <x:v>Corporate</x:v>
      </x:c>
      <x:c r="G122" s="192" t="str">
        <x:f>'Raw Data'!G122</x:f>
        <x:v>Corporate Customer 30</x:v>
      </x:c>
      <x:c r="H122" s="192" t="n">
        <x:f>'Raw Data'!H122</x:f>
        <x:v>128</x:v>
      </x:c>
      <x:c r="I122" s="195" t="n">
        <x:f>'Raw Data'!I122</x:f>
        <x:v>313</x:v>
      </x:c>
      <x:c r="J122" s="196" t="n">
        <x:f>'Raw Data'!J122</x:f>
        <x:v>0</x:v>
      </x:c>
      <x:c r="K122" s="195" t="n">
        <x:f>'Raw Data'!K122</x:f>
        <x:v>40064</x:v>
      </x:c>
      <x:c r="L122" s="195" t="n">
        <x:f>'Raw Data'!L122</x:f>
        <x:v>40064</x:v>
      </x:c>
      <x:c r="M122" s="195" t="n">
        <x:f>'Raw Data'!M122</x:f>
        <x:v>29647.36</x:v>
      </x:c>
      <x:c r="N122" s="195" t="n">
        <x:f>'Raw Data'!N122</x:f>
        <x:v>10416.64</x:v>
      </x:c>
      <x:c r="O122" s="195" t="n">
        <x:f>'Raw Data'!O122</x:f>
        <x:v>5208.320000000001</x:v>
      </x:c>
      <x:c r="P122" s="195" t="n">
        <x:f>'Raw Data'!P122</x:f>
        <x:v>5208.319999999999</x:v>
      </x:c>
      <x:c r="Q122" s="195" t="n">
        <x:f>'Raw Data'!Q122</x:f>
        <x:v>44619.82636266402</x:v>
      </x:c>
      <x:c r="R122" s="196" t="n">
        <x:f t="shared" si="3">IFERROR(N122/L122,0)</x:f>
        <x:v>0.26</x:v>
      </x:c>
      <x:c r="S122" s="196" t="n">
        <x:f t="shared" si="4">IFERROR(P122/L122,0)</x:f>
        <x:v>0.12999999999999998</x:v>
      </x:c>
      <x:c r="T122" s="196" t="n">
        <x:f t="shared" si="5">IFERROR(L122/Q122,0)</x:f>
        <x:v>0.8978968155179523</x:v>
      </x:c>
    </x:row>
    <x:row r="123">
      <x:c r="A123" s="192" t="str">
        <x:f>'Raw Data'!A123</x:f>
        <x:v>ZOM-0119</x:v>
      </x:c>
      <x:c r="B123" s="193" t="n">
        <x:f>'Raw Data'!B123</x:f>
        <x:v>45776</x:v>
      </x:c>
      <x:c r="C123" s="236" t="str">
        <x:f>'Raw Data'!C123</x:f>
        <x:v>Metro</x:v>
      </x:c>
      <x:c r="D123" s="192" t="str">
        <x:f>'Raw Data'!D123</x:f>
        <x:v>Bengaluru</x:v>
      </x:c>
      <x:c r="E123" s="192" t="str">
        <x:f>'Raw Data'!E123</x:f>
        <x:v>North Indian</x:v>
      </x:c>
      <x:c r="F123" s="192" t="str">
        <x:f>'Raw Data'!F123</x:f>
        <x:v>Student</x:v>
      </x:c>
      <x:c r="G123" s="192" t="str">
        <x:f>'Raw Data'!G123</x:f>
        <x:v>Student Customer 22</x:v>
      </x:c>
      <x:c r="H123" s="192" t="n">
        <x:f>'Raw Data'!H123</x:f>
        <x:v>84</x:v>
      </x:c>
      <x:c r="I123" s="195" t="n">
        <x:f>'Raw Data'!I123</x:f>
        <x:v>524</x:v>
      </x:c>
      <x:c r="J123" s="196" t="n">
        <x:f>'Raw Data'!J123</x:f>
        <x:v>0.13</x:v>
      </x:c>
      <x:c r="K123" s="195" t="n">
        <x:f>'Raw Data'!K123</x:f>
        <x:v>44016</x:v>
      </x:c>
      <x:c r="L123" s="195" t="n">
        <x:f>'Raw Data'!L123</x:f>
        <x:v>38293.92</x:v>
      </x:c>
      <x:c r="M123" s="195" t="n">
        <x:f>'Raw Data'!M123</x:f>
        <x:v>27954.561599999997</x:v>
      </x:c>
      <x:c r="N123" s="195" t="n">
        <x:f>'Raw Data'!N123</x:f>
        <x:v>10339.358400000001</x:v>
      </x:c>
      <x:c r="O123" s="195" t="n">
        <x:f>'Raw Data'!O123</x:f>
        <x:v>4978.2096</x:v>
      </x:c>
      <x:c r="P123" s="195" t="n">
        <x:f>'Raw Data'!P123</x:f>
        <x:v>5361.148800000001</x:v>
      </x:c>
      <x:c r="Q123" s="195" t="n">
        <x:f>'Raw Data'!Q123</x:f>
        <x:v>39719.71550987731</x:v>
      </x:c>
      <x:c r="R123" s="196" t="n">
        <x:f t="shared" si="3">IFERROR(N123/L123,0)</x:f>
        <x:v>0.27</x:v>
      </x:c>
      <x:c r="S123" s="196" t="n">
        <x:f t="shared" si="4">IFERROR(P123/L123,0)</x:f>
        <x:v>0.14000000000000004</x:v>
      </x:c>
      <x:c r="T123" s="196" t="n">
        <x:f t="shared" si="5">IFERROR(L123/Q123,0)</x:f>
        <x:v>0.9641035820228181</x:v>
      </x:c>
    </x:row>
    <x:row r="124">
      <x:c r="A124" s="192" t="str">
        <x:f>'Raw Data'!A124</x:f>
        <x:v>ZOM-0120</x:v>
      </x:c>
      <x:c r="B124" s="193" t="n">
        <x:f>'Raw Data'!B124</x:f>
        <x:v>45777</x:v>
      </x:c>
      <x:c r="C124" s="236" t="str">
        <x:f>'Raw Data'!C124</x:f>
        <x:v>South</x:v>
      </x:c>
      <x:c r="D124" s="192" t="str">
        <x:f>'Raw Data'!D124</x:f>
        <x:v>Hyderabad</x:v>
      </x:c>
      <x:c r="E124" s="192" t="str">
        <x:f>'Raw Data'!E124</x:f>
        <x:v>North Indian</x:v>
      </x:c>
      <x:c r="F124" s="192" t="str">
        <x:f>'Raw Data'!F124</x:f>
        <x:v>Corporate</x:v>
      </x:c>
      <x:c r="G124" s="192" t="str">
        <x:f>'Raw Data'!G124</x:f>
        <x:v>Corporate Customer 10</x:v>
      </x:c>
      <x:c r="H124" s="192" t="n">
        <x:f>'Raw Data'!H124</x:f>
        <x:v>158</x:v>
      </x:c>
      <x:c r="I124" s="195" t="n">
        <x:f>'Raw Data'!I124</x:f>
        <x:v>540</x:v>
      </x:c>
      <x:c r="J124" s="196" t="n">
        <x:f>'Raw Data'!J124</x:f>
        <x:v>0.02</x:v>
      </x:c>
      <x:c r="K124" s="195" t="n">
        <x:f>'Raw Data'!K124</x:f>
        <x:v>85320</x:v>
      </x:c>
      <x:c r="L124" s="195" t="n">
        <x:f>'Raw Data'!L124</x:f>
        <x:v>83613.59999999999</x:v>
      </x:c>
      <x:c r="M124" s="195" t="n">
        <x:f>'Raw Data'!M124</x:f>
        <x:v>61037.92799999999</x:v>
      </x:c>
      <x:c r="N124" s="195" t="n">
        <x:f>'Raw Data'!N124</x:f>
        <x:v>22575.672</x:v>
      </x:c>
      <x:c r="O124" s="195" t="n">
        <x:f>'Raw Data'!O124</x:f>
        <x:v>10869.768</x:v>
      </x:c>
      <x:c r="P124" s="195" t="n">
        <x:f>'Raw Data'!P124</x:f>
        <x:v>11705.903999999999</x:v>
      </x:c>
      <x:c r="Q124" s="195" t="n">
        <x:f>'Raw Data'!Q124</x:f>
        <x:v>90089.73729987016</x:v>
      </x:c>
      <x:c r="R124" s="196" t="n">
        <x:f t="shared" si="3">IFERROR(N124/L124,0)</x:f>
        <x:v>0.27</x:v>
      </x:c>
      <x:c r="S124" s="196" t="n">
        <x:f t="shared" si="4">IFERROR(P124/L124,0)</x:f>
        <x:v>0.13999999999999999</x:v>
      </x:c>
      <x:c r="T124" s="196" t="n">
        <x:f t="shared" si="5">IFERROR(L124/Q124,0)</x:f>
        <x:v>0.928114594470246</x:v>
      </x:c>
    </x:row>
    <x:row r="125">
      <x:c r="A125" s="192" t="str">
        <x:f>'Raw Data'!A125</x:f>
        <x:v>ZOM-0121</x:v>
      </x:c>
      <x:c r="B125" s="193" t="n">
        <x:f>'Raw Data'!B125</x:f>
        <x:v>45778</x:v>
      </x:c>
      <x:c r="C125" s="236" t="str">
        <x:f>'Raw Data'!C125</x:f>
        <x:v>South</x:v>
      </x:c>
      <x:c r="D125" s="192" t="str">
        <x:f>'Raw Data'!D125</x:f>
        <x:v>Hyderabad</x:v>
      </x:c>
      <x:c r="E125" s="192" t="str">
        <x:f>'Raw Data'!E125</x:f>
        <x:v>Biryani</x:v>
      </x:c>
      <x:c r="F125" s="192" t="str">
        <x:f>'Raw Data'!F125</x:f>
        <x:v>New User</x:v>
      </x:c>
      <x:c r="G125" s="192" t="str">
        <x:f>'Raw Data'!G125</x:f>
        <x:v>New User Customer 49</x:v>
      </x:c>
      <x:c r="H125" s="192" t="n">
        <x:f>'Raw Data'!H125</x:f>
        <x:v>87</x:v>
      </x:c>
      <x:c r="I125" s="195" t="n">
        <x:f>'Raw Data'!I125</x:f>
        <x:v>528</x:v>
      </x:c>
      <x:c r="J125" s="196" t="n">
        <x:f>'Raw Data'!J125</x:f>
        <x:v>0.06</x:v>
      </x:c>
      <x:c r="K125" s="195" t="n">
        <x:f>'Raw Data'!K125</x:f>
        <x:v>45936</x:v>
      </x:c>
      <x:c r="L125" s="195" t="n">
        <x:f>'Raw Data'!L125</x:f>
        <x:v>43179.84</x:v>
      </x:c>
      <x:c r="M125" s="195" t="n">
        <x:f>'Raw Data'!M125</x:f>
        <x:v>31953.081599999998</x:v>
      </x:c>
      <x:c r="N125" s="195" t="n">
        <x:f>'Raw Data'!N125</x:f>
        <x:v>11226.758399999999</x:v>
      </x:c>
      <x:c r="O125" s="195" t="n">
        <x:f>'Raw Data'!O125</x:f>
        <x:v>5613.379199999999</x:v>
      </x:c>
      <x:c r="P125" s="195" t="n">
        <x:f>'Raw Data'!P125</x:f>
        <x:v>5613.379199999999</x:v>
      </x:c>
      <x:c r="Q125" s="195" t="n">
        <x:f>'Raw Data'!Q125</x:f>
        <x:v>45740.14728978322</x:v>
      </x:c>
      <x:c r="R125" s="196" t="n">
        <x:f t="shared" si="3">IFERROR(N125/L125,0)</x:f>
        <x:v>0.26</x:v>
      </x:c>
      <x:c r="S125" s="196" t="n">
        <x:f t="shared" si="4">IFERROR(P125/L125,0)</x:f>
        <x:v>0.13</x:v>
      </x:c>
      <x:c r="T125" s="196" t="n">
        <x:f t="shared" si="5">IFERROR(L125/Q125,0)</x:f>
        <x:v>0.9440249443544072</x:v>
      </x:c>
    </x:row>
    <x:row r="126">
      <x:c r="A126" s="192" t="str">
        <x:f>'Raw Data'!A126</x:f>
        <x:v>ZOM-0122</x:v>
      </x:c>
      <x:c r="B126" s="193" t="n">
        <x:f>'Raw Data'!B126</x:f>
        <x:v>45779</x:v>
      </x:c>
      <x:c r="C126" s="236" t="str">
        <x:f>'Raw Data'!C126</x:f>
        <x:v>West</x:v>
      </x:c>
      <x:c r="D126" s="192" t="str">
        <x:f>'Raw Data'!D126</x:f>
        <x:v>Nagpur</x:v>
      </x:c>
      <x:c r="E126" s="192" t="str">
        <x:f>'Raw Data'!E126</x:f>
        <x:v>South Indian</x:v>
      </x:c>
      <x:c r="F126" s="192" t="str">
        <x:f>'Raw Data'!F126</x:f>
        <x:v>Student</x:v>
      </x:c>
      <x:c r="G126" s="192" t="str">
        <x:f>'Raw Data'!G126</x:f>
        <x:v>Student Customer 05</x:v>
      </x:c>
      <x:c r="H126" s="192" t="n">
        <x:f>'Raw Data'!H126</x:f>
        <x:v>117</x:v>
      </x:c>
      <x:c r="I126" s="195" t="n">
        <x:f>'Raw Data'!I126</x:f>
        <x:v>395</x:v>
      </x:c>
      <x:c r="J126" s="196" t="n">
        <x:f>'Raw Data'!J126</x:f>
        <x:v>0.12</x:v>
      </x:c>
      <x:c r="K126" s="195" t="n">
        <x:f>'Raw Data'!K126</x:f>
        <x:v>46215</x:v>
      </x:c>
      <x:c r="L126" s="195" t="n">
        <x:f>'Raw Data'!L126</x:f>
        <x:v>40669.2</x:v>
      </x:c>
      <x:c r="M126" s="195" t="n">
        <x:f>'Raw Data'!M126</x:f>
        <x:v>30095.208</x:v>
      </x:c>
      <x:c r="N126" s="195" t="n">
        <x:f>'Raw Data'!N126</x:f>
        <x:v>10573.991999999998</x:v>
      </x:c>
      <x:c r="O126" s="195" t="n">
        <x:f>'Raw Data'!O126</x:f>
        <x:v>5286.996</x:v>
      </x:c>
      <x:c r="P126" s="195" t="n">
        <x:f>'Raw Data'!P126</x:f>
        <x:v>5286.995999999998</x:v>
      </x:c>
      <x:c r="Q126" s="195" t="n">
        <x:f>'Raw Data'!Q126</x:f>
        <x:v>41405.91800984824</x:v>
      </x:c>
      <x:c r="R126" s="196" t="n">
        <x:f t="shared" si="3">IFERROR(N126/L126,0)</x:f>
        <x:v>0.25999999999999995</x:v>
      </x:c>
      <x:c r="S126" s="196" t="n">
        <x:f t="shared" si="4">IFERROR(P126/L126,0)</x:f>
        <x:v>0.12999999999999998</x:v>
      </x:c>
      <x:c r="T126" s="196" t="n">
        <x:f t="shared" si="5">IFERROR(L126/Q126,0)</x:f>
        <x:v>0.9822074223865048</x:v>
      </x:c>
    </x:row>
    <x:row r="127">
      <x:c r="A127" s="192" t="str">
        <x:f>'Raw Data'!A127</x:f>
        <x:v>ZOM-0123</x:v>
      </x:c>
      <x:c r="B127" s="193" t="n">
        <x:f>'Raw Data'!B127</x:f>
        <x:v>45780</x:v>
      </x:c>
      <x:c r="C127" s="236" t="str">
        <x:f>'Raw Data'!C127</x:f>
        <x:v>West</x:v>
      </x:c>
      <x:c r="D127" s="192" t="str">
        <x:f>'Raw Data'!D127</x:f>
        <x:v>Ahmedabad</x:v>
      </x:c>
      <x:c r="E127" s="192" t="str">
        <x:f>'Raw Data'!E127</x:f>
        <x:v>Healthy</x:v>
      </x:c>
      <x:c r="F127" s="192" t="str">
        <x:f>'Raw Data'!F127</x:f>
        <x:v>Corporate</x:v>
      </x:c>
      <x:c r="G127" s="192" t="str">
        <x:f>'Raw Data'!G127</x:f>
        <x:v>Corporate Customer 19</x:v>
      </x:c>
      <x:c r="H127" s="192" t="n">
        <x:f>'Raw Data'!H127</x:f>
        <x:v>141</x:v>
      </x:c>
      <x:c r="I127" s="195" t="n">
        <x:f>'Raw Data'!I127</x:f>
        <x:v>405</x:v>
      </x:c>
      <x:c r="J127" s="196" t="n">
        <x:f>'Raw Data'!J127</x:f>
        <x:v>0.02</x:v>
      </x:c>
      <x:c r="K127" s="195" t="n">
        <x:f>'Raw Data'!K127</x:f>
        <x:v>57105</x:v>
      </x:c>
      <x:c r="L127" s="195" t="n">
        <x:f>'Raw Data'!L127</x:f>
        <x:v>55962.9</x:v>
      </x:c>
      <x:c r="M127" s="195" t="n">
        <x:f>'Raw Data'!M127</x:f>
        <x:v>39174.03</x:v>
      </x:c>
      <x:c r="N127" s="195" t="n">
        <x:f>'Raw Data'!N127</x:f>
        <x:v>16788.870000000003</x:v>
      </x:c>
      <x:c r="O127" s="195" t="n">
        <x:f>'Raw Data'!O127</x:f>
        <x:v>7275.177000000001</x:v>
      </x:c>
      <x:c r="P127" s="195" t="n">
        <x:f>'Raw Data'!P127</x:f>
        <x:v>9513.693000000003</x:v>
      </x:c>
      <x:c r="Q127" s="195" t="n">
        <x:f>'Raw Data'!Q127</x:f>
        <x:v>58439.17504877862</x:v>
      </x:c>
      <x:c r="R127" s="196" t="n">
        <x:f t="shared" si="3">IFERROR(N127/L127,0)</x:f>
        <x:v>0.30000000000000004</x:v>
      </x:c>
      <x:c r="S127" s="196" t="n">
        <x:f t="shared" si="4">IFERROR(P127/L127,0)</x:f>
        <x:v>0.17000000000000004</x:v>
      </x:c>
      <x:c r="T127" s="196" t="n">
        <x:f t="shared" si="5">IFERROR(L127/Q127,0)</x:f>
        <x:v>0.9576264543996096</x:v>
      </x:c>
    </x:row>
    <x:row r="128">
      <x:c r="A128" s="192" t="str">
        <x:f>'Raw Data'!A128</x:f>
        <x:v>ZOM-0124</x:v>
      </x:c>
      <x:c r="B128" s="193" t="n">
        <x:f>'Raw Data'!B128</x:f>
        <x:v>45781</x:v>
      </x:c>
      <x:c r="C128" s="236" t="str">
        <x:f>'Raw Data'!C128</x:f>
        <x:v>North</x:v>
      </x:c>
      <x:c r="D128" s="192" t="str">
        <x:f>'Raw Data'!D128</x:f>
        <x:v>Delhi</x:v>
      </x:c>
      <x:c r="E128" s="192" t="str">
        <x:f>'Raw Data'!E128</x:f>
        <x:v>Burgers</x:v>
      </x:c>
      <x:c r="F128" s="192" t="str">
        <x:f>'Raw Data'!F128</x:f>
        <x:v>Gold User</x:v>
      </x:c>
      <x:c r="G128" s="192" t="str">
        <x:f>'Raw Data'!G128</x:f>
        <x:v>Gold User Customer 21</x:v>
      </x:c>
      <x:c r="H128" s="192" t="n">
        <x:f>'Raw Data'!H128</x:f>
        <x:v>140</x:v>
      </x:c>
      <x:c r="I128" s="195" t="n">
        <x:f>'Raw Data'!I128</x:f>
        <x:v>439</x:v>
      </x:c>
      <x:c r="J128" s="196" t="n">
        <x:f>'Raw Data'!J128</x:f>
        <x:v>0.009999999999999998</x:v>
      </x:c>
      <x:c r="K128" s="195" t="n">
        <x:f>'Raw Data'!K128</x:f>
        <x:v>61460</x:v>
      </x:c>
      <x:c r="L128" s="195" t="n">
        <x:f>'Raw Data'!L128</x:f>
        <x:v>60845.4</x:v>
      </x:c>
      <x:c r="M128" s="195" t="n">
        <x:f>'Raw Data'!M128</x:f>
        <x:v>45025.596</x:v>
      </x:c>
      <x:c r="N128" s="195" t="n">
        <x:f>'Raw Data'!N128</x:f>
        <x:v>15819.804000000004</x:v>
      </x:c>
      <x:c r="O128" s="195" t="n">
        <x:f>'Raw Data'!O128</x:f>
        <x:v>7909.902</x:v>
      </x:c>
      <x:c r="P128" s="195" t="n">
        <x:f>'Raw Data'!P128</x:f>
        <x:v>7909.902000000004</x:v>
      </x:c>
      <x:c r="Q128" s="195" t="n">
        <x:f>'Raw Data'!Q128</x:f>
        <x:v>65604.7572795692</x:v>
      </x:c>
      <x:c r="R128" s="196" t="n">
        <x:f t="shared" si="3">IFERROR(N128/L128,0)</x:f>
        <x:v>0.26000000000000006</x:v>
      </x:c>
      <x:c r="S128" s="196" t="n">
        <x:f t="shared" si="4">IFERROR(P128/L128,0)</x:f>
        <x:v>0.13000000000000006</x:v>
      </x:c>
      <x:c r="T128" s="196" t="n">
        <x:f t="shared" si="5">IFERROR(L128/Q128,0)</x:f>
        <x:v>0.9274540829518263</x:v>
      </x:c>
    </x:row>
    <x:row r="129">
      <x:c r="A129" s="192" t="str">
        <x:f>'Raw Data'!A129</x:f>
        <x:v>ZOM-0125</x:v>
      </x:c>
      <x:c r="B129" s="193" t="n">
        <x:f>'Raw Data'!B129</x:f>
        <x:v>45782</x:v>
      </x:c>
      <x:c r="C129" s="236" t="str">
        <x:f>'Raw Data'!C129</x:f>
        <x:v>West</x:v>
      </x:c>
      <x:c r="D129" s="192" t="str">
        <x:f>'Raw Data'!D129</x:f>
        <x:v>Nagpur</x:v>
      </x:c>
      <x:c r="E129" s="192" t="str">
        <x:f>'Raw Data'!E129</x:f>
        <x:v>Biryani</x:v>
      </x:c>
      <x:c r="F129" s="192" t="str">
        <x:f>'Raw Data'!F129</x:f>
        <x:v>New User</x:v>
      </x:c>
      <x:c r="G129" s="192" t="str">
        <x:f>'Raw Data'!G129</x:f>
        <x:v>New User Customer 03</x:v>
      </x:c>
      <x:c r="H129" s="192" t="n">
        <x:f>'Raw Data'!H129</x:f>
        <x:v>84</x:v>
      </x:c>
      <x:c r="I129" s="195" t="n">
        <x:f>'Raw Data'!I129</x:f>
        <x:v>538</x:v>
      </x:c>
      <x:c r="J129" s="196" t="n">
        <x:f>'Raw Data'!J129</x:f>
        <x:v>0.08</x:v>
      </x:c>
      <x:c r="K129" s="195" t="n">
        <x:f>'Raw Data'!K129</x:f>
        <x:v>45192</x:v>
      </x:c>
      <x:c r="L129" s="195" t="n">
        <x:f>'Raw Data'!L129</x:f>
        <x:v>41576.64</x:v>
      </x:c>
      <x:c r="M129" s="195" t="n">
        <x:f>'Raw Data'!M129</x:f>
        <x:v>30766.7136</x:v>
      </x:c>
      <x:c r="N129" s="195" t="n">
        <x:f>'Raw Data'!N129</x:f>
        <x:v>10809.9264</x:v>
      </x:c>
      <x:c r="O129" s="195" t="n">
        <x:f>'Raw Data'!O129</x:f>
        <x:v>5404.9632</x:v>
      </x:c>
      <x:c r="P129" s="195" t="n">
        <x:f>'Raw Data'!P129</x:f>
        <x:v>5404.9632</x:v>
      </x:c>
      <x:c r="Q129" s="195" t="n">
        <x:f>'Raw Data'!Q129</x:f>
        <x:v>44800.295215527556</x:v>
      </x:c>
      <x:c r="R129" s="196" t="n">
        <x:f t="shared" si="3">IFERROR(N129/L129,0)</x:f>
        <x:v>0.26</x:v>
      </x:c>
      <x:c r="S129" s="196" t="n">
        <x:f t="shared" si="4">IFERROR(P129/L129,0)</x:f>
        <x:v>0.13</x:v>
      </x:c>
      <x:c r="T129" s="196" t="n">
        <x:f t="shared" si="5">IFERROR(L129/Q129,0)</x:f>
        <x:v>0.928043884532032</x:v>
      </x:c>
    </x:row>
    <x:row r="130">
      <x:c r="A130" s="192" t="str">
        <x:f>'Raw Data'!A130</x:f>
        <x:v>ZOM-0126</x:v>
      </x:c>
      <x:c r="B130" s="193" t="n">
        <x:f>'Raw Data'!B130</x:f>
        <x:v>45783</x:v>
      </x:c>
      <x:c r="C130" s="236" t="str">
        <x:f>'Raw Data'!C130</x:f>
        <x:v>South</x:v>
      </x:c>
      <x:c r="D130" s="192" t="str">
        <x:f>'Raw Data'!D130</x:f>
        <x:v>Kochi</x:v>
      </x:c>
      <x:c r="E130" s="192" t="str">
        <x:f>'Raw Data'!E130</x:f>
        <x:v>Snacks</x:v>
      </x:c>
      <x:c r="F130" s="192" t="str">
        <x:f>'Raw Data'!F130</x:f>
        <x:v>Gold User</x:v>
      </x:c>
      <x:c r="G130" s="192" t="str">
        <x:f>'Raw Data'!G130</x:f>
        <x:v>Gold User Customer 44</x:v>
      </x:c>
      <x:c r="H130" s="192" t="n">
        <x:f>'Raw Data'!H130</x:f>
        <x:v>170</x:v>
      </x:c>
      <x:c r="I130" s="195" t="n">
        <x:f>'Raw Data'!I130</x:f>
        <x:v>213</x:v>
      </x:c>
      <x:c r="J130" s="196" t="n">
        <x:f>'Raw Data'!J130</x:f>
        <x:v>0.03</x:v>
      </x:c>
      <x:c r="K130" s="195" t="n">
        <x:f>'Raw Data'!K130</x:f>
        <x:v>36210</x:v>
      </x:c>
      <x:c r="L130" s="195" t="n">
        <x:f>'Raw Data'!L130</x:f>
        <x:v>35123.7</x:v>
      </x:c>
      <x:c r="M130" s="195" t="n">
        <x:f>'Raw Data'!M130</x:f>
        <x:v>25991.537999999997</x:v>
      </x:c>
      <x:c r="N130" s="195" t="n">
        <x:f>'Raw Data'!N130</x:f>
        <x:v>9132.162</x:v>
      </x:c>
      <x:c r="O130" s="195" t="n">
        <x:f>'Raw Data'!O130</x:f>
        <x:v>4566.081</x:v>
      </x:c>
      <x:c r="P130" s="195" t="n">
        <x:f>'Raw Data'!P130</x:f>
        <x:v>4566.081</x:v>
      </x:c>
      <x:c r="Q130" s="195" t="n">
        <x:f>'Raw Data'!Q130</x:f>
        <x:v>38387.94826733128</x:v>
      </x:c>
      <x:c r="R130" s="196" t="n">
        <x:f t="shared" si="3">IFERROR(N130/L130,0)</x:f>
        <x:v>0.26</x:v>
      </x:c>
      <x:c r="S130" s="196" t="n">
        <x:f t="shared" si="4">IFERROR(P130/L130,0)</x:f>
        <x:v>0.13</x:v>
      </x:c>
      <x:c r="T130" s="196" t="n">
        <x:f t="shared" si="5">IFERROR(L130/Q130,0)</x:f>
        <x:v>0.9149668472876106</x:v>
      </x:c>
    </x:row>
    <x:row r="131">
      <x:c r="A131" s="192" t="str">
        <x:f>'Raw Data'!A131</x:f>
        <x:v>ZOM-0127</x:v>
      </x:c>
      <x:c r="B131" s="193" t="n">
        <x:f>'Raw Data'!B131</x:f>
        <x:v>45784</x:v>
      </x:c>
      <x:c r="C131" s="236" t="str">
        <x:f>'Raw Data'!C131</x:f>
        <x:v>West</x:v>
      </x:c>
      <x:c r="D131" s="192" t="str">
        <x:f>'Raw Data'!D131</x:f>
        <x:v>Ahmedabad</x:v>
      </x:c>
      <x:c r="E131" s="192" t="str">
        <x:f>'Raw Data'!E131</x:f>
        <x:v>North Indian</x:v>
      </x:c>
      <x:c r="F131" s="192" t="str">
        <x:f>'Raw Data'!F131</x:f>
        <x:v>New User</x:v>
      </x:c>
      <x:c r="G131" s="192" t="str">
        <x:f>'Raw Data'!G131</x:f>
        <x:v>New User Customer 23</x:v>
      </x:c>
      <x:c r="H131" s="192" t="n">
        <x:f>'Raw Data'!H131</x:f>
        <x:v>120</x:v>
      </x:c>
      <x:c r="I131" s="195" t="n">
        <x:f>'Raw Data'!I131</x:f>
        <x:v>490</x:v>
      </x:c>
      <x:c r="J131" s="196" t="n">
        <x:f>'Raw Data'!J131</x:f>
        <x:v>0.08</x:v>
      </x:c>
      <x:c r="K131" s="195" t="n">
        <x:f>'Raw Data'!K131</x:f>
        <x:v>58800</x:v>
      </x:c>
      <x:c r="L131" s="195" t="n">
        <x:f>'Raw Data'!L131</x:f>
        <x:v>54096</x:v>
      </x:c>
      <x:c r="M131" s="195" t="n">
        <x:f>'Raw Data'!M131</x:f>
        <x:v>39490.08</x:v>
      </x:c>
      <x:c r="N131" s="195" t="n">
        <x:f>'Raw Data'!N131</x:f>
        <x:v>14605.919999999998</x:v>
      </x:c>
      <x:c r="O131" s="195" t="n">
        <x:f>'Raw Data'!O131</x:f>
        <x:v>7032.4800000000005</x:v>
      </x:c>
      <x:c r="P131" s="195" t="n">
        <x:f>'Raw Data'!P131</x:f>
        <x:v>7573.439999999998</x:v>
      </x:c>
      <x:c r="Q131" s="195" t="n">
        <x:f>'Raw Data'!Q131</x:f>
        <x:v>55014.085161130715</x:v>
      </x:c>
      <x:c r="R131" s="196" t="n">
        <x:f t="shared" si="3">IFERROR(N131/L131,0)</x:f>
        <x:v>0.26999999999999996</x:v>
      </x:c>
      <x:c r="S131" s="196" t="n">
        <x:f t="shared" si="4">IFERROR(P131/L131,0)</x:f>
        <x:v>0.13999999999999996</x:v>
      </x:c>
      <x:c r="T131" s="196" t="n">
        <x:f t="shared" si="5">IFERROR(L131/Q131,0)</x:f>
        <x:v>0.9833118162659301</x:v>
      </x:c>
    </x:row>
    <x:row r="132">
      <x:c r="A132" s="192" t="str">
        <x:f>'Raw Data'!A132</x:f>
        <x:v>ZOM-0128</x:v>
      </x:c>
      <x:c r="B132" s="193" t="n">
        <x:f>'Raw Data'!B132</x:f>
        <x:v>45785</x:v>
      </x:c>
      <x:c r="C132" s="236" t="str">
        <x:f>'Raw Data'!C132</x:f>
        <x:v>South</x:v>
      </x:c>
      <x:c r="D132" s="192" t="str">
        <x:f>'Raw Data'!D132</x:f>
        <x:v>Kochi</x:v>
      </x:c>
      <x:c r="E132" s="192" t="str">
        <x:f>'Raw Data'!E132</x:f>
        <x:v>North Indian</x:v>
      </x:c>
      <x:c r="F132" s="192" t="str">
        <x:f>'Raw Data'!F132</x:f>
        <x:v>Budget</x:v>
      </x:c>
      <x:c r="G132" s="192" t="str">
        <x:f>'Raw Data'!G132</x:f>
        <x:v>Budget Customer 45</x:v>
      </x:c>
      <x:c r="H132" s="192" t="n">
        <x:f>'Raw Data'!H132</x:f>
        <x:v>67</x:v>
      </x:c>
      <x:c r="I132" s="195" t="n">
        <x:f>'Raw Data'!I132</x:f>
        <x:v>496</x:v>
      </x:c>
      <x:c r="J132" s="196" t="n">
        <x:f>'Raw Data'!J132</x:f>
        <x:v>0.11</x:v>
      </x:c>
      <x:c r="K132" s="195" t="n">
        <x:f>'Raw Data'!K132</x:f>
        <x:v>33232</x:v>
      </x:c>
      <x:c r="L132" s="195" t="n">
        <x:f>'Raw Data'!L132</x:f>
        <x:v>29576.48</x:v>
      </x:c>
      <x:c r="M132" s="195" t="n">
        <x:f>'Raw Data'!M132</x:f>
        <x:v>21590.8304</x:v>
      </x:c>
      <x:c r="N132" s="195" t="n">
        <x:f>'Raw Data'!N132</x:f>
        <x:v>7985.649600000001</x:v>
      </x:c>
      <x:c r="O132" s="195" t="n">
        <x:f>'Raw Data'!O132</x:f>
        <x:v>3844.9424</x:v>
      </x:c>
      <x:c r="P132" s="195" t="n">
        <x:f>'Raw Data'!P132</x:f>
        <x:v>4140.707200000001</x:v>
      </x:c>
      <x:c r="Q132" s="195" t="n">
        <x:f>'Raw Data'!Q132</x:f>
        <x:v>30030.042764964634</x:v>
      </x:c>
      <x:c r="R132" s="196" t="n">
        <x:f t="shared" si="3">IFERROR(N132/L132,0)</x:f>
        <x:v>0.27</x:v>
      </x:c>
      <x:c r="S132" s="196" t="n">
        <x:f t="shared" si="4">IFERROR(P132/L132,0)</x:f>
        <x:v>0.14</x:v>
      </x:c>
      <x:c r="T132" s="196" t="n">
        <x:f t="shared" si="5">IFERROR(L132/Q132,0)</x:f>
        <x:v>0.9848963663317258</x:v>
      </x:c>
    </x:row>
    <x:row r="133">
      <x:c r="A133" s="192" t="str">
        <x:f>'Raw Data'!A133</x:f>
        <x:v>ZOM-0129</x:v>
      </x:c>
      <x:c r="B133" s="193" t="n">
        <x:f>'Raw Data'!B133</x:f>
        <x:v>45786</x:v>
      </x:c>
      <x:c r="C133" s="236" t="str">
        <x:f>'Raw Data'!C133</x:f>
        <x:v>Central</x:v>
      </x:c>
      <x:c r="D133" s="192" t="str">
        <x:f>'Raw Data'!D133</x:f>
        <x:v>Varanasi</x:v>
      </x:c>
      <x:c r="E133" s="192" t="str">
        <x:f>'Raw Data'!E133</x:f>
        <x:v>North Indian</x:v>
      </x:c>
      <x:c r="F133" s="192" t="str">
        <x:f>'Raw Data'!F133</x:f>
        <x:v>Budget</x:v>
      </x:c>
      <x:c r="G133" s="192" t="str">
        <x:f>'Raw Data'!G133</x:f>
        <x:v>Budget Customer 50</x:v>
      </x:c>
      <x:c r="H133" s="192" t="n">
        <x:f>'Raw Data'!H133</x:f>
        <x:v>92</x:v>
      </x:c>
      <x:c r="I133" s="195" t="n">
        <x:f>'Raw Data'!I133</x:f>
        <x:v>507</x:v>
      </x:c>
      <x:c r="J133" s="196" t="n">
        <x:f>'Raw Data'!J133</x:f>
        <x:v>0.1</x:v>
      </x:c>
      <x:c r="K133" s="195" t="n">
        <x:f>'Raw Data'!K133</x:f>
        <x:v>46644</x:v>
      </x:c>
      <x:c r="L133" s="195" t="n">
        <x:f>'Raw Data'!L133</x:f>
        <x:v>41979.6</x:v>
      </x:c>
      <x:c r="M133" s="195" t="n">
        <x:f>'Raw Data'!M133</x:f>
        <x:v>30645.107999999997</x:v>
      </x:c>
      <x:c r="N133" s="195" t="n">
        <x:f>'Raw Data'!N133</x:f>
        <x:v>11334.492000000002</x:v>
      </x:c>
      <x:c r="O133" s="195" t="n">
        <x:f>'Raw Data'!O133</x:f>
        <x:v>5457.348</x:v>
      </x:c>
      <x:c r="P133" s="195" t="n">
        <x:f>'Raw Data'!P133</x:f>
        <x:v>5877.144000000002</x:v>
      </x:c>
      <x:c r="Q133" s="195" t="n">
        <x:f>'Raw Data'!Q133</x:f>
        <x:v>43701.09445868211</x:v>
      </x:c>
      <x:c r="R133" s="196" t="n">
        <x:f t="shared" ref="R133:R196" si="6">IFERROR(N133/L133,0)</x:f>
        <x:v>0.2700000000000001</x:v>
      </x:c>
      <x:c r="S133" s="196" t="n">
        <x:f t="shared" ref="S133:S196" si="7">IFERROR(P133/L133,0)</x:f>
        <x:v>0.14000000000000004</x:v>
      </x:c>
      <x:c r="T133" s="196" t="n">
        <x:f t="shared" ref="T133:T196" si="8">IFERROR(L133/Q133,0)</x:f>
        <x:v>0.9606075207038641</x:v>
      </x:c>
    </x:row>
    <x:row r="134">
      <x:c r="A134" s="192" t="str">
        <x:f>'Raw Data'!A134</x:f>
        <x:v>ZOM-0130</x:v>
      </x:c>
      <x:c r="B134" s="193" t="n">
        <x:f>'Raw Data'!B134</x:f>
        <x:v>45787</x:v>
      </x:c>
      <x:c r="C134" s="236" t="str">
        <x:f>'Raw Data'!C134</x:f>
        <x:v>West</x:v>
      </x:c>
      <x:c r="D134" s="192" t="str">
        <x:f>'Raw Data'!D134</x:f>
        <x:v>Pune</x:v>
      </x:c>
      <x:c r="E134" s="192" t="str">
        <x:f>'Raw Data'!E134</x:f>
        <x:v>Snacks</x:v>
      </x:c>
      <x:c r="F134" s="192" t="str">
        <x:f>'Raw Data'!F134</x:f>
        <x:v>New User</x:v>
      </x:c>
      <x:c r="G134" s="192" t="str">
        <x:f>'Raw Data'!G134</x:f>
        <x:v>New User Customer 34</x:v>
      </x:c>
      <x:c r="H134" s="192" t="n">
        <x:f>'Raw Data'!H134</x:f>
        <x:v>108</x:v>
      </x:c>
      <x:c r="I134" s="195" t="n">
        <x:f>'Raw Data'!I134</x:f>
        <x:v>284</x:v>
      </x:c>
      <x:c r="J134" s="196" t="n">
        <x:f>'Raw Data'!J134</x:f>
        <x:v>0.06</x:v>
      </x:c>
      <x:c r="K134" s="195" t="n">
        <x:f>'Raw Data'!K134</x:f>
        <x:v>30672</x:v>
      </x:c>
      <x:c r="L134" s="195" t="n">
        <x:f>'Raw Data'!L134</x:f>
        <x:v>28831.679999999997</x:v>
      </x:c>
      <x:c r="M134" s="195" t="n">
        <x:f>'Raw Data'!M134</x:f>
        <x:v>21335.443199999998</x:v>
      </x:c>
      <x:c r="N134" s="195" t="n">
        <x:f>'Raw Data'!N134</x:f>
        <x:v>7496.236799999999</x:v>
      </x:c>
      <x:c r="O134" s="195" t="n">
        <x:f>'Raw Data'!O134</x:f>
        <x:v>3748.1184</x:v>
      </x:c>
      <x:c r="P134" s="195" t="n">
        <x:f>'Raw Data'!P134</x:f>
        <x:v>3748.118399999999</x:v>
      </x:c>
      <x:c r="Q134" s="195" t="n">
        <x:f>'Raw Data'!Q134</x:f>
        <x:v>31387.241703414882</x:v>
      </x:c>
      <x:c r="R134" s="196" t="n">
        <x:f t="shared" si="6">IFERROR(N134/L134,0)</x:f>
        <x:v>0.26</x:v>
      </x:c>
      <x:c r="S134" s="196" t="n">
        <x:f t="shared" si="7">IFERROR(P134/L134,0)</x:f>
        <x:v>0.12999999999999998</x:v>
      </x:c>
      <x:c r="T134" s="196" t="n">
        <x:f t="shared" si="8">IFERROR(L134/Q134,0)</x:f>
        <x:v>0.918579602261232</x:v>
      </x:c>
    </x:row>
    <x:row r="135">
      <x:c r="A135" s="192" t="str">
        <x:f>'Raw Data'!A135</x:f>
        <x:v>ZOM-0131</x:v>
      </x:c>
      <x:c r="B135" s="193" t="n">
        <x:f>'Raw Data'!B135</x:f>
        <x:v>45788</x:v>
      </x:c>
      <x:c r="C135" s="236" t="str">
        <x:f>'Raw Data'!C135</x:f>
        <x:v>North</x:v>
      </x:c>
      <x:c r="D135" s="192" t="str">
        <x:f>'Raw Data'!D135</x:f>
        <x:v>Gurugram</x:v>
      </x:c>
      <x:c r="E135" s="192" t="str">
        <x:f>'Raw Data'!E135</x:f>
        <x:v>Beverages</x:v>
      </x:c>
      <x:c r="F135" s="192" t="str">
        <x:f>'Raw Data'!F135</x:f>
        <x:v>Corporate</x:v>
      </x:c>
      <x:c r="G135" s="192" t="str">
        <x:f>'Raw Data'!G135</x:f>
        <x:v>Corporate Customer 58</x:v>
      </x:c>
      <x:c r="H135" s="192" t="n">
        <x:f>'Raw Data'!H135</x:f>
        <x:v>164</x:v>
      </x:c>
      <x:c r="I135" s="195" t="n">
        <x:f>'Raw Data'!I135</x:f>
        <x:v>216</x:v>
      </x:c>
      <x:c r="J135" s="196" t="n">
        <x:f>'Raw Data'!J135</x:f>
        <x:v>0.02</x:v>
      </x:c>
      <x:c r="K135" s="195" t="n">
        <x:f>'Raw Data'!K135</x:f>
        <x:v>35424</x:v>
      </x:c>
      <x:c r="L135" s="195" t="n">
        <x:f>'Raw Data'!L135</x:f>
        <x:v>34715.52</x:v>
      </x:c>
      <x:c r="M135" s="195" t="n">
        <x:f>'Raw Data'!M135</x:f>
        <x:v>23606.553599999996</x:v>
      </x:c>
      <x:c r="N135" s="195" t="n">
        <x:f>'Raw Data'!N135</x:f>
        <x:v>11108.966400000001</x:v>
      </x:c>
      <x:c r="O135" s="195" t="n">
        <x:f>'Raw Data'!O135</x:f>
        <x:v>4513.0176</x:v>
      </x:c>
      <x:c r="P135" s="195" t="n">
        <x:f>'Raw Data'!P135</x:f>
        <x:v>6595.948800000001</x:v>
      </x:c>
      <x:c r="Q135" s="195" t="n">
        <x:f>'Raw Data'!Q135</x:f>
        <x:v>37318.102875197954</x:v>
      </x:c>
      <x:c r="R135" s="196" t="n">
        <x:f t="shared" si="6">IFERROR(N135/L135,0)</x:f>
        <x:v>0.32000000000000006</x:v>
      </x:c>
      <x:c r="S135" s="196" t="n">
        <x:f t="shared" si="7">IFERROR(P135/L135,0)</x:f>
        <x:v>0.19000000000000006</x:v>
      </x:c>
      <x:c r="T135" s="196" t="n">
        <x:f t="shared" si="8">IFERROR(L135/Q135,0)</x:f>
        <x:v>0.9302595074593767</x:v>
      </x:c>
    </x:row>
    <x:row r="136">
      <x:c r="A136" s="192" t="str">
        <x:f>'Raw Data'!A136</x:f>
        <x:v>ZOM-0132</x:v>
      </x:c>
      <x:c r="B136" s="193" t="n">
        <x:f>'Raw Data'!B136</x:f>
        <x:v>45789</x:v>
      </x:c>
      <x:c r="C136" s="236" t="str">
        <x:f>'Raw Data'!C136</x:f>
        <x:v>North</x:v>
      </x:c>
      <x:c r="D136" s="192" t="str">
        <x:f>'Raw Data'!D136</x:f>
        <x:v>Jaipur</x:v>
      </x:c>
      <x:c r="E136" s="192" t="str">
        <x:f>'Raw Data'!E136</x:f>
        <x:v>North Indian</x:v>
      </x:c>
      <x:c r="F136" s="192" t="str">
        <x:f>'Raw Data'!F136</x:f>
        <x:v>Repeat User</x:v>
      </x:c>
      <x:c r="G136" s="192" t="str">
        <x:f>'Raw Data'!G136</x:f>
        <x:v>Repeat User Customer 16</x:v>
      </x:c>
      <x:c r="H136" s="192" t="n">
        <x:f>'Raw Data'!H136</x:f>
        <x:v>97</x:v>
      </x:c>
      <x:c r="I136" s="195" t="n">
        <x:f>'Raw Data'!I136</x:f>
        <x:v>643</x:v>
      </x:c>
      <x:c r="J136" s="196" t="n">
        <x:f>'Raw Data'!J136</x:f>
        <x:v>0.05</x:v>
      </x:c>
      <x:c r="K136" s="195" t="n">
        <x:f>'Raw Data'!K136</x:f>
        <x:v>62371</x:v>
      </x:c>
      <x:c r="L136" s="195" t="n">
        <x:f>'Raw Data'!L136</x:f>
        <x:v>59252.45</x:v>
      </x:c>
      <x:c r="M136" s="195" t="n">
        <x:f>'Raw Data'!M136</x:f>
        <x:v>43254.288499999995</x:v>
      </x:c>
      <x:c r="N136" s="195" t="n">
        <x:f>'Raw Data'!N136</x:f>
        <x:v>15998.161500000002</x:v>
      </x:c>
      <x:c r="O136" s="195" t="n">
        <x:f>'Raw Data'!O136</x:f>
        <x:v>7702.8185</x:v>
      </x:c>
      <x:c r="P136" s="195" t="n">
        <x:f>'Raw Data'!P136</x:f>
        <x:v>8295.343</x:v>
      </x:c>
      <x:c r="Q136" s="195" t="n">
        <x:f>'Raw Data'!Q136</x:f>
        <x:v>60916.2797310905</x:v>
      </x:c>
      <x:c r="R136" s="196" t="n">
        <x:f t="shared" si="6">IFERROR(N136/L136,0)</x:f>
        <x:v>0.2700000000000001</x:v>
      </x:c>
      <x:c r="S136" s="196" t="n">
        <x:f t="shared" si="7">IFERROR(P136/L136,0)</x:f>
        <x:v>0.14</x:v>
      </x:c>
      <x:c r="T136" s="196" t="n">
        <x:f t="shared" si="8">IFERROR(L136/Q136,0)</x:f>
        <x:v>0.9726866161486661</x:v>
      </x:c>
    </x:row>
    <x:row r="137">
      <x:c r="A137" s="192" t="str">
        <x:f>'Raw Data'!A137</x:f>
        <x:v>ZOM-0133</x:v>
      </x:c>
      <x:c r="B137" s="193" t="n">
        <x:f>'Raw Data'!B137</x:f>
        <x:v>45790</x:v>
      </x:c>
      <x:c r="C137" s="236" t="str">
        <x:f>'Raw Data'!C137</x:f>
        <x:v>South</x:v>
      </x:c>
      <x:c r="D137" s="192" t="str">
        <x:f>'Raw Data'!D137</x:f>
        <x:v>Kochi</x:v>
      </x:c>
      <x:c r="E137" s="192" t="str">
        <x:f>'Raw Data'!E137</x:f>
        <x:v>Beverages</x:v>
      </x:c>
      <x:c r="F137" s="192" t="str">
        <x:f>'Raw Data'!F137</x:f>
        <x:v>Repeat User</x:v>
      </x:c>
      <x:c r="G137" s="192" t="str">
        <x:f>'Raw Data'!G137</x:f>
        <x:v>Repeat User Customer 27</x:v>
      </x:c>
      <x:c r="H137" s="192" t="n">
        <x:f>'Raw Data'!H137</x:f>
        <x:v>147</x:v>
      </x:c>
      <x:c r="I137" s="195" t="n">
        <x:f>'Raw Data'!I137</x:f>
        <x:v>274</x:v>
      </x:c>
      <x:c r="J137" s="196" t="n">
        <x:f>'Raw Data'!J137</x:f>
        <x:v>0.060000000000000005</x:v>
      </x:c>
      <x:c r="K137" s="195" t="n">
        <x:f>'Raw Data'!K137</x:f>
        <x:v>40278</x:v>
      </x:c>
      <x:c r="L137" s="195" t="n">
        <x:f>'Raw Data'!L137</x:f>
        <x:v>37861.32</x:v>
      </x:c>
      <x:c r="M137" s="195" t="n">
        <x:f>'Raw Data'!M137</x:f>
        <x:v>25745.697599999996</x:v>
      </x:c>
      <x:c r="N137" s="195" t="n">
        <x:f>'Raw Data'!N137</x:f>
        <x:v>12115.622400000004</x:v>
      </x:c>
      <x:c r="O137" s="195" t="n">
        <x:f>'Raw Data'!O137</x:f>
        <x:v>4921.9716</x:v>
      </x:c>
      <x:c r="P137" s="195" t="n">
        <x:f>'Raw Data'!P137</x:f>
        <x:v>7193.650800000004</x:v>
      </x:c>
      <x:c r="Q137" s="195" t="n">
        <x:f>'Raw Data'!Q137</x:f>
        <x:v>40146.2053411863</x:v>
      </x:c>
      <x:c r="R137" s="196" t="n">
        <x:f t="shared" si="6">IFERROR(N137/L137,0)</x:f>
        <x:v>0.3200000000000001</x:v>
      </x:c>
      <x:c r="S137" s="196" t="n">
        <x:f t="shared" si="7">IFERROR(P137/L137,0)</x:f>
        <x:v>0.1900000000000001</x:v>
      </x:c>
      <x:c r="T137" s="196" t="n">
        <x:f t="shared" si="8">IFERROR(L137/Q137,0)</x:f>
        <x:v>0.9430858951233874</x:v>
      </x:c>
    </x:row>
    <x:row r="138">
      <x:c r="A138" s="192" t="str">
        <x:f>'Raw Data'!A138</x:f>
        <x:v>ZOM-0134</x:v>
      </x:c>
      <x:c r="B138" s="193" t="n">
        <x:f>'Raw Data'!B138</x:f>
        <x:v>45791</x:v>
      </x:c>
      <x:c r="C138" s="236" t="str">
        <x:f>'Raw Data'!C138</x:f>
        <x:v>Metro</x:v>
      </x:c>
      <x:c r="D138" s="192" t="str">
        <x:f>'Raw Data'!D138</x:f>
        <x:v>Mumbai</x:v>
      </x:c>
      <x:c r="E138" s="192" t="str">
        <x:f>'Raw Data'!E138</x:f>
        <x:v>Healthy</x:v>
      </x:c>
      <x:c r="F138" s="192" t="str">
        <x:f>'Raw Data'!F138</x:f>
        <x:v>New User</x:v>
      </x:c>
      <x:c r="G138" s="192" t="str">
        <x:f>'Raw Data'!G138</x:f>
        <x:v>New User Customer 55</x:v>
      </x:c>
      <x:c r="H138" s="192" t="n">
        <x:f>'Raw Data'!H138</x:f>
        <x:v>106</x:v>
      </x:c>
      <x:c r="I138" s="195" t="n">
        <x:f>'Raw Data'!I138</x:f>
        <x:v>329</x:v>
      </x:c>
      <x:c r="J138" s="196" t="n">
        <x:f>'Raw Data'!J138</x:f>
        <x:v>0.09</x:v>
      </x:c>
      <x:c r="K138" s="195" t="n">
        <x:f>'Raw Data'!K138</x:f>
        <x:v>34874</x:v>
      </x:c>
      <x:c r="L138" s="195" t="n">
        <x:f>'Raw Data'!L138</x:f>
        <x:v>31735.34</x:v>
      </x:c>
      <x:c r="M138" s="195" t="n">
        <x:f>'Raw Data'!M138</x:f>
        <x:v>22214.737999999998</x:v>
      </x:c>
      <x:c r="N138" s="195" t="n">
        <x:f>'Raw Data'!N138</x:f>
        <x:v>9520.602000000003</x:v>
      </x:c>
      <x:c r="O138" s="195" t="n">
        <x:f>'Raw Data'!O138</x:f>
        <x:v>4125.5942000000005</x:v>
      </x:c>
      <x:c r="P138" s="195" t="n">
        <x:f>'Raw Data'!P138</x:f>
        <x:v>5395.007800000002</x:v>
      </x:c>
      <x:c r="Q138" s="195" t="n">
        <x:f>'Raw Data'!Q138</x:f>
        <x:v>32126.026402105348</x:v>
      </x:c>
      <x:c r="R138" s="196" t="n">
        <x:f t="shared" si="6">IFERROR(N138/L138,0)</x:f>
        <x:v>0.3000000000000001</x:v>
      </x:c>
      <x:c r="S138" s="196" t="n">
        <x:f t="shared" si="7">IFERROR(P138/L138,0)</x:f>
        <x:v>0.17000000000000007</x:v>
      </x:c>
      <x:c r="T138" s="196" t="n">
        <x:f t="shared" si="8">IFERROR(L138/Q138,0)</x:f>
        <x:v>0.9878389441253854</x:v>
      </x:c>
    </x:row>
    <x:row r="139">
      <x:c r="A139" s="192" t="str">
        <x:f>'Raw Data'!A139</x:f>
        <x:v>ZOM-0135</x:v>
      </x:c>
      <x:c r="B139" s="193" t="n">
        <x:f>'Raw Data'!B139</x:f>
        <x:v>45792</x:v>
      </x:c>
      <x:c r="C139" s="236" t="str">
        <x:f>'Raw Data'!C139</x:f>
        <x:v>West</x:v>
      </x:c>
      <x:c r="D139" s="192" t="str">
        <x:f>'Raw Data'!D139</x:f>
        <x:v>Mumbai</x:v>
      </x:c>
      <x:c r="E139" s="192" t="str">
        <x:f>'Raw Data'!E139</x:f>
        <x:v>Pizza</x:v>
      </x:c>
      <x:c r="F139" s="192" t="str">
        <x:f>'Raw Data'!F139</x:f>
        <x:v>Budget</x:v>
      </x:c>
      <x:c r="G139" s="192" t="str">
        <x:f>'Raw Data'!G139</x:f>
        <x:v>Budget Customer 53</x:v>
      </x:c>
      <x:c r="H139" s="192" t="n">
        <x:f>'Raw Data'!H139</x:f>
        <x:v>90</x:v>
      </x:c>
      <x:c r="I139" s="195" t="n">
        <x:f>'Raw Data'!I139</x:f>
        <x:v>628</x:v>
      </x:c>
      <x:c r="J139" s="196" t="n">
        <x:f>'Raw Data'!J139</x:f>
        <x:v>0.1</x:v>
      </x:c>
      <x:c r="K139" s="195" t="n">
        <x:f>'Raw Data'!K139</x:f>
        <x:v>56520</x:v>
      </x:c>
      <x:c r="L139" s="195" t="n">
        <x:f>'Raw Data'!L139</x:f>
        <x:v>50868</x:v>
      </x:c>
      <x:c r="M139" s="195" t="n">
        <x:f>'Raw Data'!M139</x:f>
        <x:v>37642.32</x:v>
      </x:c>
      <x:c r="N139" s="195" t="n">
        <x:f>'Raw Data'!N139</x:f>
        <x:v>13225.68</x:v>
      </x:c>
      <x:c r="O139" s="195" t="n">
        <x:f>'Raw Data'!O139</x:f>
        <x:v>6612.84</x:v>
      </x:c>
      <x:c r="P139" s="195" t="n">
        <x:f>'Raw Data'!P139</x:f>
        <x:v>6612.84</x:v>
      </x:c>
      <x:c r="Q139" s="195" t="n">
        <x:f>'Raw Data'!Q139</x:f>
        <x:v>56425.86791834471</x:v>
      </x:c>
      <x:c r="R139" s="196" t="n">
        <x:f t="shared" si="6">IFERROR(N139/L139,0)</x:f>
        <x:v>0.26</x:v>
      </x:c>
      <x:c r="S139" s="196" t="n">
        <x:f t="shared" si="7">IFERROR(P139/L139,0)</x:f>
        <x:v>0.13</x:v>
      </x:c>
      <x:c r="T139" s="196" t="n">
        <x:f t="shared" si="8">IFERROR(L139/Q139,0)</x:f>
        <x:v>0.9015014190585843</x:v>
      </x:c>
    </x:row>
    <x:row r="140">
      <x:c r="A140" s="192" t="str">
        <x:f>'Raw Data'!A140</x:f>
        <x:v>ZOM-0136</x:v>
      </x:c>
      <x:c r="B140" s="193" t="n">
        <x:f>'Raw Data'!B140</x:f>
        <x:v>45793</x:v>
      </x:c>
      <x:c r="C140" s="236" t="str">
        <x:f>'Raw Data'!C140</x:f>
        <x:v>West</x:v>
      </x:c>
      <x:c r="D140" s="192" t="str">
        <x:f>'Raw Data'!D140</x:f>
        <x:v>Ahmedabad</x:v>
      </x:c>
      <x:c r="E140" s="192" t="str">
        <x:f>'Raw Data'!E140</x:f>
        <x:v>Beverages</x:v>
      </x:c>
      <x:c r="F140" s="192" t="str">
        <x:f>'Raw Data'!F140</x:f>
        <x:v>Repeat User</x:v>
      </x:c>
      <x:c r="G140" s="192" t="str">
        <x:f>'Raw Data'!G140</x:f>
        <x:v>Repeat User Customer 21</x:v>
      </x:c>
      <x:c r="H140" s="192" t="n">
        <x:f>'Raw Data'!H140</x:f>
        <x:v>128</x:v>
      </x:c>
      <x:c r="I140" s="195" t="n">
        <x:f>'Raw Data'!I140</x:f>
        <x:v>228</x:v>
      </x:c>
      <x:c r="J140" s="196" t="n">
        <x:f>'Raw Data'!J140</x:f>
        <x:v>0.05</x:v>
      </x:c>
      <x:c r="K140" s="195" t="n">
        <x:f>'Raw Data'!K140</x:f>
        <x:v>29184</x:v>
      </x:c>
      <x:c r="L140" s="195" t="n">
        <x:f>'Raw Data'!L140</x:f>
        <x:v>27724.8</x:v>
      </x:c>
      <x:c r="M140" s="195" t="n">
        <x:f>'Raw Data'!M140</x:f>
        <x:v>18852.863999999998</x:v>
      </x:c>
      <x:c r="N140" s="195" t="n">
        <x:f>'Raw Data'!N140</x:f>
        <x:v>8871.936000000002</x:v>
      </x:c>
      <x:c r="O140" s="195" t="n">
        <x:f>'Raw Data'!O140</x:f>
        <x:v>3604.224</x:v>
      </x:c>
      <x:c r="P140" s="195" t="n">
        <x:f>'Raw Data'!P140</x:f>
        <x:v>5267.712000000001</x:v>
      </x:c>
      <x:c r="Q140" s="195" t="n">
        <x:f>'Raw Data'!Q140</x:f>
        <x:v>28471.83506095567</x:v>
      </x:c>
      <x:c r="R140" s="196" t="n">
        <x:f t="shared" si="6">IFERROR(N140/L140,0)</x:f>
        <x:v>0.32000000000000006</x:v>
      </x:c>
      <x:c r="S140" s="196" t="n">
        <x:f t="shared" si="7">IFERROR(P140/L140,0)</x:f>
        <x:v>0.19000000000000006</x:v>
      </x:c>
      <x:c r="T140" s="196" t="n">
        <x:f t="shared" si="8">IFERROR(L140/Q140,0)</x:f>
        <x:v>0.9737623142534952</x:v>
      </x:c>
    </x:row>
    <x:row r="141">
      <x:c r="A141" s="192" t="str">
        <x:f>'Raw Data'!A141</x:f>
        <x:v>ZOM-0137</x:v>
      </x:c>
      <x:c r="B141" s="193" t="n">
        <x:f>'Raw Data'!B141</x:f>
        <x:v>45794</x:v>
      </x:c>
      <x:c r="C141" s="236" t="str">
        <x:f>'Raw Data'!C141</x:f>
        <x:v>Metro</x:v>
      </x:c>
      <x:c r="D141" s="192" t="str">
        <x:f>'Raw Data'!D141</x:f>
        <x:v>Bengaluru</x:v>
      </x:c>
      <x:c r="E141" s="192" t="str">
        <x:f>'Raw Data'!E141</x:f>
        <x:v>Healthy</x:v>
      </x:c>
      <x:c r="F141" s="192" t="str">
        <x:f>'Raw Data'!F141</x:f>
        <x:v>New User</x:v>
      </x:c>
      <x:c r="G141" s="192" t="str">
        <x:f>'Raw Data'!G141</x:f>
        <x:v>New User Customer 29</x:v>
      </x:c>
      <x:c r="H141" s="192" t="n">
        <x:f>'Raw Data'!H141</x:f>
        <x:v>111</x:v>
      </x:c>
      <x:c r="I141" s="195" t="n">
        <x:f>'Raw Data'!I141</x:f>
        <x:v>474</x:v>
      </x:c>
      <x:c r="J141" s="196" t="n">
        <x:f>'Raw Data'!J141</x:f>
        <x:v>0.09</x:v>
      </x:c>
      <x:c r="K141" s="195" t="n">
        <x:f>'Raw Data'!K141</x:f>
        <x:v>52614</x:v>
      </x:c>
      <x:c r="L141" s="195" t="n">
        <x:f>'Raw Data'!L141</x:f>
        <x:v>47878.740000000005</x:v>
      </x:c>
      <x:c r="M141" s="195" t="n">
        <x:f>'Raw Data'!M141</x:f>
        <x:v>33515.118</x:v>
      </x:c>
      <x:c r="N141" s="195" t="n">
        <x:f>'Raw Data'!N141</x:f>
        <x:v>14363.622000000003</x:v>
      </x:c>
      <x:c r="O141" s="195" t="n">
        <x:f>'Raw Data'!O141</x:f>
        <x:v>6224.236200000001</x:v>
      </x:c>
      <x:c r="P141" s="195" t="n">
        <x:f>'Raw Data'!P141</x:f>
        <x:v>8139.385800000002</x:v>
      </x:c>
      <x:c r="Q141" s="195" t="n">
        <x:f>'Raw Data'!Q141</x:f>
        <x:v>51932.36197167124</x:v>
      </x:c>
      <x:c r="R141" s="196" t="n">
        <x:f t="shared" si="6">IFERROR(N141/L141,0)</x:f>
        <x:v>0.30000000000000004</x:v>
      </x:c>
      <x:c r="S141" s="196" t="n">
        <x:f t="shared" si="7">IFERROR(P141/L141,0)</x:f>
        <x:v>0.17</x:v>
      </x:c>
      <x:c r="T141" s="196" t="n">
        <x:f t="shared" si="8">IFERROR(L141/Q141,0)</x:f>
        <x:v>0.9219442016929162</x:v>
      </x:c>
    </x:row>
    <x:row r="142">
      <x:c r="A142" s="192" t="str">
        <x:f>'Raw Data'!A142</x:f>
        <x:v>ZOM-0138</x:v>
      </x:c>
      <x:c r="B142" s="193" t="n">
        <x:f>'Raw Data'!B142</x:f>
        <x:v>45795</x:v>
      </x:c>
      <x:c r="C142" s="236" t="str">
        <x:f>'Raw Data'!C142</x:f>
        <x:v>East</x:v>
      </x:c>
      <x:c r="D142" s="192" t="str">
        <x:f>'Raw Data'!D142</x:f>
        <x:v>Kolkata</x:v>
      </x:c>
      <x:c r="E142" s="192" t="str">
        <x:f>'Raw Data'!E142</x:f>
        <x:v>North Indian</x:v>
      </x:c>
      <x:c r="F142" s="192" t="str">
        <x:f>'Raw Data'!F142</x:f>
        <x:v>Repeat User</x:v>
      </x:c>
      <x:c r="G142" s="192" t="str">
        <x:f>'Raw Data'!G142</x:f>
        <x:v>Repeat User Customer 04</x:v>
      </x:c>
      <x:c r="H142" s="192" t="n">
        <x:f>'Raw Data'!H142</x:f>
        <x:v>78</x:v>
      </x:c>
      <x:c r="I142" s="195" t="n">
        <x:f>'Raw Data'!I142</x:f>
        <x:v>549</x:v>
      </x:c>
      <x:c r="J142" s="196" t="n">
        <x:f>'Raw Data'!J142</x:f>
        <x:v>0.060000000000000005</x:v>
      </x:c>
      <x:c r="K142" s="195" t="n">
        <x:f>'Raw Data'!K142</x:f>
        <x:v>42822</x:v>
      </x:c>
      <x:c r="L142" s="195" t="n">
        <x:f>'Raw Data'!L142</x:f>
        <x:v>40252.68</x:v>
      </x:c>
      <x:c r="M142" s="195" t="n">
        <x:f>'Raw Data'!M142</x:f>
        <x:v>29384.4564</x:v>
      </x:c>
      <x:c r="N142" s="195" t="n">
        <x:f>'Raw Data'!N142</x:f>
        <x:v>10868.223600000001</x:v>
      </x:c>
      <x:c r="O142" s="195" t="n">
        <x:f>'Raw Data'!O142</x:f>
        <x:v>5232.8484</x:v>
      </x:c>
      <x:c r="P142" s="195" t="n">
        <x:f>'Raw Data'!P142</x:f>
        <x:v>5635.375200000001</x:v>
      </x:c>
      <x:c r="Q142" s="195" t="n">
        <x:f>'Raw Data'!Q142</x:f>
        <x:v>41707.33712007562</x:v>
      </x:c>
      <x:c r="R142" s="196" t="n">
        <x:f t="shared" si="6">IFERROR(N142/L142,0)</x:f>
        <x:v>0.27</x:v>
      </x:c>
      <x:c r="S142" s="196" t="n">
        <x:f t="shared" si="7">IFERROR(P142/L142,0)</x:f>
        <x:v>0.14000000000000004</x:v>
      </x:c>
      <x:c r="T142" s="196" t="n">
        <x:f t="shared" si="8">IFERROR(L142/Q142,0)</x:f>
        <x:v>0.9651222729495375</x:v>
      </x:c>
    </x:row>
    <x:row r="143">
      <x:c r="A143" s="192" t="str">
        <x:f>'Raw Data'!A143</x:f>
        <x:v>ZOM-0139</x:v>
      </x:c>
      <x:c r="B143" s="193" t="n">
        <x:f>'Raw Data'!B143</x:f>
        <x:v>45796</x:v>
      </x:c>
      <x:c r="C143" s="236" t="str">
        <x:f>'Raw Data'!C143</x:f>
        <x:v>South</x:v>
      </x:c>
      <x:c r="D143" s="192" t="str">
        <x:f>'Raw Data'!D143</x:f>
        <x:v>Coimbatore</x:v>
      </x:c>
      <x:c r="E143" s="192" t="str">
        <x:f>'Raw Data'!E143</x:f>
        <x:v>South Indian</x:v>
      </x:c>
      <x:c r="F143" s="192" t="str">
        <x:f>'Raw Data'!F143</x:f>
        <x:v>New User</x:v>
      </x:c>
      <x:c r="G143" s="192" t="str">
        <x:f>'Raw Data'!G143</x:f>
        <x:v>New User Customer 19</x:v>
      </x:c>
      <x:c r="H143" s="192" t="n">
        <x:f>'Raw Data'!H143</x:f>
        <x:v>129</x:v>
      </x:c>
      <x:c r="I143" s="195" t="n">
        <x:f>'Raw Data'!I143</x:f>
        <x:v>388</x:v>
      </x:c>
      <x:c r="J143" s="196" t="n">
        <x:f>'Raw Data'!J143</x:f>
        <x:v>0.06</x:v>
      </x:c>
      <x:c r="K143" s="195" t="n">
        <x:f>'Raw Data'!K143</x:f>
        <x:v>50052</x:v>
      </x:c>
      <x:c r="L143" s="195" t="n">
        <x:f>'Raw Data'!L143</x:f>
        <x:v>47048.88</x:v>
      </x:c>
      <x:c r="M143" s="195" t="n">
        <x:f>'Raw Data'!M143</x:f>
        <x:v>34816.1712</x:v>
      </x:c>
      <x:c r="N143" s="195" t="n">
        <x:f>'Raw Data'!N143</x:f>
        <x:v>12232.7088</x:v>
      </x:c>
      <x:c r="O143" s="195" t="n">
        <x:f>'Raw Data'!O143</x:f>
        <x:v>6116.3544</x:v>
      </x:c>
      <x:c r="P143" s="195" t="n">
        <x:f>'Raw Data'!P143</x:f>
        <x:v>6116.3544</x:v>
      </x:c>
      <x:c r="Q143" s="195" t="n">
        <x:f>'Raw Data'!Q143</x:f>
        <x:v>51105.68470235797</x:v>
      </x:c>
      <x:c r="R143" s="196" t="n">
        <x:f t="shared" si="6">IFERROR(N143/L143,0)</x:f>
        <x:v>0.26</x:v>
      </x:c>
      <x:c r="S143" s="196" t="n">
        <x:f t="shared" si="7">IFERROR(P143/L143,0)</x:f>
        <x:v>0.13</x:v>
      </x:c>
      <x:c r="T143" s="196" t="n">
        <x:f t="shared" si="8">IFERROR(L143/Q143,0)</x:f>
        <x:v>0.9206193063259988</x:v>
      </x:c>
    </x:row>
    <x:row r="144">
      <x:c r="A144" s="192" t="str">
        <x:f>'Raw Data'!A144</x:f>
        <x:v>ZOM-0140</x:v>
      </x:c>
      <x:c r="B144" s="193" t="n">
        <x:f>'Raw Data'!B144</x:f>
        <x:v>45797</x:v>
      </x:c>
      <x:c r="C144" s="236" t="str">
        <x:f>'Raw Data'!C144</x:f>
        <x:v>West</x:v>
      </x:c>
      <x:c r="D144" s="192" t="str">
        <x:f>'Raw Data'!D144</x:f>
        <x:v>Nagpur</x:v>
      </x:c>
      <x:c r="E144" s="192" t="str">
        <x:f>'Raw Data'!E144</x:f>
        <x:v>Pizza</x:v>
      </x:c>
      <x:c r="F144" s="192" t="str">
        <x:f>'Raw Data'!F144</x:f>
        <x:v>Corporate</x:v>
      </x:c>
      <x:c r="G144" s="192" t="str">
        <x:f>'Raw Data'!G144</x:f>
        <x:v>Corporate Customer 35</x:v>
      </x:c>
      <x:c r="H144" s="192" t="n">
        <x:f>'Raw Data'!H144</x:f>
        <x:v>114</x:v>
      </x:c>
      <x:c r="I144" s="195" t="n">
        <x:f>'Raw Data'!I144</x:f>
        <x:v>686</x:v>
      </x:c>
      <x:c r="J144" s="196" t="n">
        <x:f>'Raw Data'!J144</x:f>
        <x:v>0</x:v>
      </x:c>
      <x:c r="K144" s="195" t="n">
        <x:f>'Raw Data'!K144</x:f>
        <x:v>78204</x:v>
      </x:c>
      <x:c r="L144" s="195" t="n">
        <x:f>'Raw Data'!L144</x:f>
        <x:v>78204</x:v>
      </x:c>
      <x:c r="M144" s="195" t="n">
        <x:f>'Raw Data'!M144</x:f>
        <x:v>57870.96</x:v>
      </x:c>
      <x:c r="N144" s="195" t="n">
        <x:f>'Raw Data'!N144</x:f>
        <x:v>20333.04</x:v>
      </x:c>
      <x:c r="O144" s="195" t="n">
        <x:f>'Raw Data'!O144</x:f>
        <x:v>10166.52</x:v>
      </x:c>
      <x:c r="P144" s="195" t="n">
        <x:f>'Raw Data'!P144</x:f>
        <x:v>10166.52</x:v>
      </x:c>
      <x:c r="Q144" s="195" t="n">
        <x:f>'Raw Data'!Q144</x:f>
        <x:v>87151.19774798153</x:v>
      </x:c>
      <x:c r="R144" s="196" t="n">
        <x:f t="shared" si="6">IFERROR(N144/L144,0)</x:f>
        <x:v>0.26</x:v>
      </x:c>
      <x:c r="S144" s="196" t="n">
        <x:f t="shared" si="7">IFERROR(P144/L144,0)</x:f>
        <x:v>0.13</x:v>
      </x:c>
      <x:c r="T144" s="196" t="n">
        <x:f t="shared" si="8">IFERROR(L144/Q144,0)</x:f>
        <x:v>0.897337065018263</x:v>
      </x:c>
    </x:row>
    <x:row r="145">
      <x:c r="A145" s="192" t="str">
        <x:f>'Raw Data'!A145</x:f>
        <x:v>ZOM-0141</x:v>
      </x:c>
      <x:c r="B145" s="193" t="n">
        <x:f>'Raw Data'!B145</x:f>
        <x:v>45798</x:v>
      </x:c>
      <x:c r="C145" s="236" t="str">
        <x:f>'Raw Data'!C145</x:f>
        <x:v>West</x:v>
      </x:c>
      <x:c r="D145" s="192" t="str">
        <x:f>'Raw Data'!D145</x:f>
        <x:v>Nagpur</x:v>
      </x:c>
      <x:c r="E145" s="192" t="str">
        <x:f>'Raw Data'!E145</x:f>
        <x:v>Chinese</x:v>
      </x:c>
      <x:c r="F145" s="192" t="str">
        <x:f>'Raw Data'!F145</x:f>
        <x:v>Repeat User</x:v>
      </x:c>
      <x:c r="G145" s="192" t="str">
        <x:f>'Raw Data'!G145</x:f>
        <x:v>Repeat User Customer 51</x:v>
      </x:c>
      <x:c r="H145" s="192" t="n">
        <x:f>'Raw Data'!H145</x:f>
        <x:v>139</x:v>
      </x:c>
      <x:c r="I145" s="195" t="n">
        <x:f>'Raw Data'!I145</x:f>
        <x:v>369</x:v>
      </x:c>
      <x:c r="J145" s="196" t="n">
        <x:f>'Raw Data'!J145</x:f>
        <x:v>0.060000000000000005</x:v>
      </x:c>
      <x:c r="K145" s="195" t="n">
        <x:f>'Raw Data'!K145</x:f>
        <x:v>51291</x:v>
      </x:c>
      <x:c r="L145" s="195" t="n">
        <x:f>'Raw Data'!L145</x:f>
        <x:v>48213.54</x:v>
      </x:c>
      <x:c r="M145" s="195" t="n">
        <x:f>'Raw Data'!M145</x:f>
        <x:v>35678.0196</x:v>
      </x:c>
      <x:c r="N145" s="195" t="n">
        <x:f>'Raw Data'!N145</x:f>
        <x:v>12535.520400000001</x:v>
      </x:c>
      <x:c r="O145" s="195" t="n">
        <x:f>'Raw Data'!O145</x:f>
        <x:v>6267.760200000001</x:v>
      </x:c>
      <x:c r="P145" s="195" t="n">
        <x:f>'Raw Data'!P145</x:f>
        <x:v>6267.760200000001</x:v>
      </x:c>
      <x:c r="Q145" s="195" t="n">
        <x:f>'Raw Data'!Q145</x:f>
        <x:v>48307.511455111264</x:v>
      </x:c>
      <x:c r="R145" s="196" t="n">
        <x:f t="shared" si="6">IFERROR(N145/L145,0)</x:f>
        <x:v>0.26</x:v>
      </x:c>
      <x:c r="S145" s="196" t="n">
        <x:f t="shared" si="7">IFERROR(P145/L145,0)</x:f>
        <x:v>0.13</x:v>
      </x:c>
      <x:c r="T145" s="196" t="n">
        <x:f t="shared" si="8">IFERROR(L145/Q145,0)</x:f>
        <x:v>0.9980547237421123</x:v>
      </x:c>
    </x:row>
    <x:row r="146">
      <x:c r="A146" s="192" t="str">
        <x:f>'Raw Data'!A146</x:f>
        <x:v>ZOM-0142</x:v>
      </x:c>
      <x:c r="B146" s="193" t="n">
        <x:f>'Raw Data'!B146</x:f>
        <x:v>45799</x:v>
      </x:c>
      <x:c r="C146" s="236" t="str">
        <x:f>'Raw Data'!C146</x:f>
        <x:v>North</x:v>
      </x:c>
      <x:c r="D146" s="192" t="str">
        <x:f>'Raw Data'!D146</x:f>
        <x:v>Noida</x:v>
      </x:c>
      <x:c r="E146" s="192" t="str">
        <x:f>'Raw Data'!E146</x:f>
        <x:v>Desserts</x:v>
      </x:c>
      <x:c r="F146" s="192" t="str">
        <x:f>'Raw Data'!F146</x:f>
        <x:v>Corporate</x:v>
      </x:c>
      <x:c r="G146" s="192" t="str">
        <x:f>'Raw Data'!G146</x:f>
        <x:v>Corporate Customer 42</x:v>
      </x:c>
      <x:c r="H146" s="192" t="n">
        <x:f>'Raw Data'!H146</x:f>
        <x:v>161</x:v>
      </x:c>
      <x:c r="I146" s="195" t="n">
        <x:f>'Raw Data'!I146</x:f>
        <x:v>318</x:v>
      </x:c>
      <x:c r="J146" s="196" t="n">
        <x:f>'Raw Data'!J146</x:f>
        <x:v>0.02</x:v>
      </x:c>
      <x:c r="K146" s="195" t="n">
        <x:f>'Raw Data'!K146</x:f>
        <x:v>51198</x:v>
      </x:c>
      <x:c r="L146" s="195" t="n">
        <x:f>'Raw Data'!L146</x:f>
        <x:v>50174.04</x:v>
      </x:c>
      <x:c r="M146" s="195" t="n">
        <x:f>'Raw Data'!M146</x:f>
        <x:v>34620.0876</x:v>
      </x:c>
      <x:c r="N146" s="195" t="n">
        <x:f>'Raw Data'!N146</x:f>
        <x:v>15553.952400000002</x:v>
      </x:c>
      <x:c r="O146" s="195" t="n">
        <x:f>'Raw Data'!O146</x:f>
        <x:v>6522.6252</x:v>
      </x:c>
      <x:c r="P146" s="195" t="n">
        <x:f>'Raw Data'!P146</x:f>
        <x:v>9031.327200000002</x:v>
      </x:c>
      <x:c r="Q146" s="195" t="n">
        <x:f>'Raw Data'!Q146</x:f>
        <x:v>52212.39404085584</x:v>
      </x:c>
      <x:c r="R146" s="196" t="n">
        <x:f t="shared" si="6">IFERROR(N146/L146,0)</x:f>
        <x:v>0.31000000000000005</x:v>
      </x:c>
      <x:c r="S146" s="196" t="n">
        <x:f t="shared" si="7">IFERROR(P146/L146,0)</x:f>
        <x:v>0.18000000000000002</x:v>
      </x:c>
      <x:c r="T146" s="196" t="n">
        <x:f t="shared" si="8">IFERROR(L146/Q146,0)</x:f>
        <x:v>0.9609603413461402</x:v>
      </x:c>
    </x:row>
    <x:row r="147">
      <x:c r="A147" s="192" t="str">
        <x:f>'Raw Data'!A147</x:f>
        <x:v>ZOM-0143</x:v>
      </x:c>
      <x:c r="B147" s="193" t="n">
        <x:f>'Raw Data'!B147</x:f>
        <x:v>45800</x:v>
      </x:c>
      <x:c r="C147" s="236" t="str">
        <x:f>'Raw Data'!C147</x:f>
        <x:v>North</x:v>
      </x:c>
      <x:c r="D147" s="192" t="str">
        <x:f>'Raw Data'!D147</x:f>
        <x:v>Jaipur</x:v>
      </x:c>
      <x:c r="E147" s="192" t="str">
        <x:f>'Raw Data'!E147</x:f>
        <x:v>Snacks</x:v>
      </x:c>
      <x:c r="F147" s="192" t="str">
        <x:f>'Raw Data'!F147</x:f>
        <x:v>Gold User</x:v>
      </x:c>
      <x:c r="G147" s="192" t="str">
        <x:f>'Raw Data'!G147</x:f>
        <x:v>Gold User Customer 13</x:v>
      </x:c>
      <x:c r="H147" s="192" t="n">
        <x:f>'Raw Data'!H147</x:f>
        <x:v>101</x:v>
      </x:c>
      <x:c r="I147" s="195" t="n">
        <x:f>'Raw Data'!I147</x:f>
        <x:v>281</x:v>
      </x:c>
      <x:c r="J147" s="196" t="n">
        <x:f>'Raw Data'!J147</x:f>
        <x:v>0.009999999999999998</x:v>
      </x:c>
      <x:c r="K147" s="195" t="n">
        <x:f>'Raw Data'!K147</x:f>
        <x:v>28381</x:v>
      </x:c>
      <x:c r="L147" s="195" t="n">
        <x:f>'Raw Data'!L147</x:f>
        <x:v>28097.19</x:v>
      </x:c>
      <x:c r="M147" s="195" t="n">
        <x:f>'Raw Data'!M147</x:f>
        <x:v>20791.920599999998</x:v>
      </x:c>
      <x:c r="N147" s="195" t="n">
        <x:f>'Raw Data'!N147</x:f>
        <x:v>7305.269400000001</x:v>
      </x:c>
      <x:c r="O147" s="195" t="n">
        <x:f>'Raw Data'!O147</x:f>
        <x:v>3652.6347</x:v>
      </x:c>
      <x:c r="P147" s="195" t="n">
        <x:f>'Raw Data'!P147</x:f>
        <x:v>3652.634700000001</x:v>
      </x:c>
      <x:c r="Q147" s="195" t="n">
        <x:f>'Raw Data'!Q147</x:f>
        <x:v>28221.886869619586</x:v>
      </x:c>
      <x:c r="R147" s="196" t="n">
        <x:f t="shared" si="6">IFERROR(N147/L147,0)</x:f>
        <x:v>0.26000000000000006</x:v>
      </x:c>
      <x:c r="S147" s="196" t="n">
        <x:f t="shared" si="7">IFERROR(P147/L147,0)</x:f>
        <x:v>0.13000000000000003</x:v>
      </x:c>
      <x:c r="T147" s="196" t="n">
        <x:f t="shared" si="8">IFERROR(L147/Q147,0)</x:f>
        <x:v>0.9955815544794837</x:v>
      </x:c>
    </x:row>
    <x:row r="148">
      <x:c r="A148" s="192" t="str">
        <x:f>'Raw Data'!A148</x:f>
        <x:v>ZOM-0144</x:v>
      </x:c>
      <x:c r="B148" s="193" t="n">
        <x:f>'Raw Data'!B148</x:f>
        <x:v>45801</x:v>
      </x:c>
      <x:c r="C148" s="236" t="str">
        <x:f>'Raw Data'!C148</x:f>
        <x:v>North</x:v>
      </x:c>
      <x:c r="D148" s="192" t="str">
        <x:f>'Raw Data'!D148</x:f>
        <x:v>Noida</x:v>
      </x:c>
      <x:c r="E148" s="192" t="str">
        <x:f>'Raw Data'!E148</x:f>
        <x:v>Beverages</x:v>
      </x:c>
      <x:c r="F148" s="192" t="str">
        <x:f>'Raw Data'!F148</x:f>
        <x:v>Repeat User</x:v>
      </x:c>
      <x:c r="G148" s="192" t="str">
        <x:f>'Raw Data'!G148</x:f>
        <x:v>Repeat User Customer 23</x:v>
      </x:c>
      <x:c r="H148" s="192" t="n">
        <x:f>'Raw Data'!H148</x:f>
        <x:v>106</x:v>
      </x:c>
      <x:c r="I148" s="195" t="n">
        <x:f>'Raw Data'!I148</x:f>
        <x:v>229</x:v>
      </x:c>
      <x:c r="J148" s="196" t="n">
        <x:f>'Raw Data'!J148</x:f>
        <x:v>0.060000000000000005</x:v>
      </x:c>
      <x:c r="K148" s="195" t="n">
        <x:f>'Raw Data'!K148</x:f>
        <x:v>24274</x:v>
      </x:c>
      <x:c r="L148" s="195" t="n">
        <x:f>'Raw Data'!L148</x:f>
        <x:v>22817.559999999998</x:v>
      </x:c>
      <x:c r="M148" s="195" t="n">
        <x:f>'Raw Data'!M148</x:f>
        <x:v>15515.940799999997</x:v>
      </x:c>
      <x:c r="N148" s="195" t="n">
        <x:f>'Raw Data'!N148</x:f>
        <x:v>7301.619200000001</x:v>
      </x:c>
      <x:c r="O148" s="195" t="n">
        <x:f>'Raw Data'!O148</x:f>
        <x:v>2966.2828</x:v>
      </x:c>
      <x:c r="P148" s="195" t="n">
        <x:f>'Raw Data'!P148</x:f>
        <x:v>4335.336400000001</x:v>
      </x:c>
      <x:c r="Q148" s="195" t="n">
        <x:f>'Raw Data'!Q148</x:f>
        <x:v>23340.82167963722</x:v>
      </x:c>
      <x:c r="R148" s="196" t="n">
        <x:f t="shared" si="6">IFERROR(N148/L148,0)</x:f>
        <x:v>0.32000000000000006</x:v>
      </x:c>
      <x:c r="S148" s="196" t="n">
        <x:f t="shared" si="7">IFERROR(P148/L148,0)</x:f>
        <x:v>0.19000000000000006</x:v>
      </x:c>
      <x:c r="T148" s="196" t="n">
        <x:f t="shared" si="8">IFERROR(L148/Q148,0)</x:f>
        <x:v>0.9775816941314571</x:v>
      </x:c>
    </x:row>
    <x:row r="149">
      <x:c r="A149" s="192" t="str">
        <x:f>'Raw Data'!A149</x:f>
        <x:v>ZOM-0145</x:v>
      </x:c>
      <x:c r="B149" s="193" t="n">
        <x:f>'Raw Data'!B149</x:f>
        <x:v>45802</x:v>
      </x:c>
      <x:c r="C149" s="236" t="str">
        <x:f>'Raw Data'!C149</x:f>
        <x:v>Metro</x:v>
      </x:c>
      <x:c r="D149" s="192" t="str">
        <x:f>'Raw Data'!D149</x:f>
        <x:v>Delhi</x:v>
      </x:c>
      <x:c r="E149" s="192" t="str">
        <x:f>'Raw Data'!E149</x:f>
        <x:v>Healthy</x:v>
      </x:c>
      <x:c r="F149" s="192" t="str">
        <x:f>'Raw Data'!F149</x:f>
        <x:v>Repeat User</x:v>
      </x:c>
      <x:c r="G149" s="192" t="str">
        <x:f>'Raw Data'!G149</x:f>
        <x:v>Repeat User Customer 25</x:v>
      </x:c>
      <x:c r="H149" s="192" t="n">
        <x:f>'Raw Data'!H149</x:f>
        <x:v>94</x:v>
      </x:c>
      <x:c r="I149" s="195" t="n">
        <x:f>'Raw Data'!I149</x:f>
        <x:v>454</x:v>
      </x:c>
      <x:c r="J149" s="196" t="n">
        <x:f>'Raw Data'!J149</x:f>
        <x:v>0.060000000000000005</x:v>
      </x:c>
      <x:c r="K149" s="195" t="n">
        <x:f>'Raw Data'!K149</x:f>
        <x:v>42676</x:v>
      </x:c>
      <x:c r="L149" s="195" t="n">
        <x:f>'Raw Data'!L149</x:f>
        <x:v>40115.439999999995</x:v>
      </x:c>
      <x:c r="M149" s="195" t="n">
        <x:f>'Raw Data'!M149</x:f>
        <x:v>28080.807999999994</x:v>
      </x:c>
      <x:c r="N149" s="195" t="n">
        <x:f>'Raw Data'!N149</x:f>
        <x:v>12034.632000000001</x:v>
      </x:c>
      <x:c r="O149" s="195" t="n">
        <x:f>'Raw Data'!O149</x:f>
        <x:v>5215.007199999999</x:v>
      </x:c>
      <x:c r="P149" s="195" t="n">
        <x:f>'Raw Data'!P149</x:f>
        <x:v>6819.624800000002</x:v>
      </x:c>
      <x:c r="Q149" s="195" t="n">
        <x:f>'Raw Data'!Q149</x:f>
        <x:v>44422.093210074374</x:v>
      </x:c>
      <x:c r="R149" s="196" t="n">
        <x:f t="shared" si="6">IFERROR(N149/L149,0)</x:f>
        <x:v>0.3000000000000001</x:v>
      </x:c>
      <x:c r="S149" s="196" t="n">
        <x:f t="shared" si="7">IFERROR(P149/L149,0)</x:f>
        <x:v>0.17000000000000007</x:v>
      </x:c>
      <x:c r="T149" s="196" t="n">
        <x:f t="shared" si="8">IFERROR(L149/Q149,0)</x:f>
        <x:v>0.9030515471275071</x:v>
      </x:c>
    </x:row>
    <x:row r="150">
      <x:c r="A150" s="192" t="str">
        <x:f>'Raw Data'!A150</x:f>
        <x:v>ZOM-0146</x:v>
      </x:c>
      <x:c r="B150" s="193" t="n">
        <x:f>'Raw Data'!B150</x:f>
        <x:v>45803</x:v>
      </x:c>
      <x:c r="C150" s="236" t="str">
        <x:f>'Raw Data'!C150</x:f>
        <x:v>South</x:v>
      </x:c>
      <x:c r="D150" s="192" t="str">
        <x:f>'Raw Data'!D150</x:f>
        <x:v>Hyderabad</x:v>
      </x:c>
      <x:c r="E150" s="192" t="str">
        <x:f>'Raw Data'!E150</x:f>
        <x:v>South Indian</x:v>
      </x:c>
      <x:c r="F150" s="192" t="str">
        <x:f>'Raw Data'!F150</x:f>
        <x:v>Gold User</x:v>
      </x:c>
      <x:c r="G150" s="192" t="str">
        <x:f>'Raw Data'!G150</x:f>
        <x:v>Gold User Customer 53</x:v>
      </x:c>
      <x:c r="H150" s="192" t="n">
        <x:f>'Raw Data'!H150</x:f>
        <x:v>156</x:v>
      </x:c>
      <x:c r="I150" s="195" t="n">
        <x:f>'Raw Data'!I150</x:f>
        <x:v>336</x:v>
      </x:c>
      <x:c r="J150" s="196" t="n">
        <x:f>'Raw Data'!J150</x:f>
        <x:v>0.009999999999999998</x:v>
      </x:c>
      <x:c r="K150" s="195" t="n">
        <x:f>'Raw Data'!K150</x:f>
        <x:v>52416</x:v>
      </x:c>
      <x:c r="L150" s="195" t="n">
        <x:f>'Raw Data'!L150</x:f>
        <x:v>51891.84</x:v>
      </x:c>
      <x:c r="M150" s="195" t="n">
        <x:f>'Raw Data'!M150</x:f>
        <x:v>38399.961599999995</x:v>
      </x:c>
      <x:c r="N150" s="195" t="n">
        <x:f>'Raw Data'!N150</x:f>
        <x:v>13491.878400000001</x:v>
      </x:c>
      <x:c r="O150" s="195" t="n">
        <x:f>'Raw Data'!O150</x:f>
        <x:v>6745.9392</x:v>
      </x:c>
      <x:c r="P150" s="195" t="n">
        <x:f>'Raw Data'!P150</x:f>
        <x:v>6745.939200000002</x:v>
      </x:c>
      <x:c r="Q150" s="195" t="n">
        <x:f>'Raw Data'!Q150</x:f>
        <x:v>55643.32922284444</x:v>
      </x:c>
      <x:c r="R150" s="196" t="n">
        <x:f t="shared" si="6">IFERROR(N150/L150,0)</x:f>
        <x:v>0.26000000000000006</x:v>
      </x:c>
      <x:c r="S150" s="196" t="n">
        <x:f t="shared" si="7">IFERROR(P150/L150,0)</x:f>
        <x:v>0.13000000000000003</x:v>
      </x:c>
      <x:c r="T150" s="196" t="n">
        <x:f t="shared" si="8">IFERROR(L150/Q150,0)</x:f>
        <x:v>0.9325797130538288</x:v>
      </x:c>
    </x:row>
    <x:row r="151">
      <x:c r="A151" s="192" t="str">
        <x:f>'Raw Data'!A151</x:f>
        <x:v>ZOM-0147</x:v>
      </x:c>
      <x:c r="B151" s="193" t="n">
        <x:f>'Raw Data'!B151</x:f>
        <x:v>45804</x:v>
      </x:c>
      <x:c r="C151" s="236" t="str">
        <x:f>'Raw Data'!C151</x:f>
        <x:v>South</x:v>
      </x:c>
      <x:c r="D151" s="192" t="str">
        <x:f>'Raw Data'!D151</x:f>
        <x:v>Chennai</x:v>
      </x:c>
      <x:c r="E151" s="192" t="str">
        <x:f>'Raw Data'!E151</x:f>
        <x:v>Pizza</x:v>
      </x:c>
      <x:c r="F151" s="192" t="str">
        <x:f>'Raw Data'!F151</x:f>
        <x:v>New User</x:v>
      </x:c>
      <x:c r="G151" s="192" t="str">
        <x:f>'Raw Data'!G151</x:f>
        <x:v>New User Customer 47</x:v>
      </x:c>
      <x:c r="H151" s="192" t="n">
        <x:f>'Raw Data'!H151</x:f>
        <x:v>104</x:v>
      </x:c>
      <x:c r="I151" s="195" t="n">
        <x:f>'Raw Data'!I151</x:f>
        <x:v>590</x:v>
      </x:c>
      <x:c r="J151" s="196" t="n">
        <x:f>'Raw Data'!J151</x:f>
        <x:v>0.09</x:v>
      </x:c>
      <x:c r="K151" s="195" t="n">
        <x:f>'Raw Data'!K151</x:f>
        <x:v>61360</x:v>
      </x:c>
      <x:c r="L151" s="195" t="n">
        <x:f>'Raw Data'!L151</x:f>
        <x:v>55837.6</x:v>
      </x:c>
      <x:c r="M151" s="195" t="n">
        <x:f>'Raw Data'!M151</x:f>
        <x:v>41319.824</x:v>
      </x:c>
      <x:c r="N151" s="195" t="n">
        <x:f>'Raw Data'!N151</x:f>
        <x:v>14517.775999999998</x:v>
      </x:c>
      <x:c r="O151" s="195" t="n">
        <x:f>'Raw Data'!O151</x:f>
        <x:v>7258.888</x:v>
      </x:c>
      <x:c r="P151" s="195" t="n">
        <x:f>'Raw Data'!P151</x:f>
        <x:v>7258.887999999998</x:v>
      </x:c>
      <x:c r="Q151" s="195" t="n">
        <x:f>'Raw Data'!Q151</x:f>
        <x:v>58833.597650176474</x:v>
      </x:c>
      <x:c r="R151" s="196" t="n">
        <x:f t="shared" si="6">IFERROR(N151/L151,0)</x:f>
        <x:v>0.25999999999999995</x:v>
      </x:c>
      <x:c r="S151" s="196" t="n">
        <x:f t="shared" si="7">IFERROR(P151/L151,0)</x:f>
        <x:v>0.12999999999999998</x:v>
      </x:c>
      <x:c r="T151" s="196" t="n">
        <x:f t="shared" si="8">IFERROR(L151/Q151,0)</x:f>
        <x:v>0.9490767559721467</x:v>
      </x:c>
    </x:row>
    <x:row r="152">
      <x:c r="A152" s="192" t="str">
        <x:f>'Raw Data'!A152</x:f>
        <x:v>ZOM-0148</x:v>
      </x:c>
      <x:c r="B152" s="193" t="n">
        <x:f>'Raw Data'!B152</x:f>
        <x:v>45805</x:v>
      </x:c>
      <x:c r="C152" s="236" t="str">
        <x:f>'Raw Data'!C152</x:f>
        <x:v>Metro</x:v>
      </x:c>
      <x:c r="D152" s="192" t="str">
        <x:f>'Raw Data'!D152</x:f>
        <x:v>Bengaluru</x:v>
      </x:c>
      <x:c r="E152" s="192" t="str">
        <x:f>'Raw Data'!E152</x:f>
        <x:v>Burgers</x:v>
      </x:c>
      <x:c r="F152" s="192" t="str">
        <x:f>'Raw Data'!F152</x:f>
        <x:v>Gold User</x:v>
      </x:c>
      <x:c r="G152" s="192" t="str">
        <x:f>'Raw Data'!G152</x:f>
        <x:v>Gold User Customer 02</x:v>
      </x:c>
      <x:c r="H152" s="192" t="n">
        <x:f>'Raw Data'!H152</x:f>
        <x:v>95</x:v>
      </x:c>
      <x:c r="I152" s="195" t="n">
        <x:f>'Raw Data'!I152</x:f>
        <x:v>349</x:v>
      </x:c>
      <x:c r="J152" s="196" t="n">
        <x:f>'Raw Data'!J152</x:f>
        <x:v>0.04</x:v>
      </x:c>
      <x:c r="K152" s="195" t="n">
        <x:f>'Raw Data'!K152</x:f>
        <x:v>33155</x:v>
      </x:c>
      <x:c r="L152" s="195" t="n">
        <x:f>'Raw Data'!L152</x:f>
        <x:v>31828.8</x:v>
      </x:c>
      <x:c r="M152" s="195" t="n">
        <x:f>'Raw Data'!M152</x:f>
        <x:v>23553.311999999998</x:v>
      </x:c>
      <x:c r="N152" s="195" t="n">
        <x:f>'Raw Data'!N152</x:f>
        <x:v>8275.488000000001</x:v>
      </x:c>
      <x:c r="O152" s="195" t="n">
        <x:f>'Raw Data'!O152</x:f>
        <x:v>4137.744</x:v>
      </x:c>
      <x:c r="P152" s="195" t="n">
        <x:f>'Raw Data'!P152</x:f>
        <x:v>4137.7440000000015</x:v>
      </x:c>
      <x:c r="Q152" s="195" t="n">
        <x:f>'Raw Data'!Q152</x:f>
        <x:v>34423.77892248146</x:v>
      </x:c>
      <x:c r="R152" s="196" t="n">
        <x:f t="shared" si="6">IFERROR(N152/L152,0)</x:f>
        <x:v>0.26000000000000006</x:v>
      </x:c>
      <x:c r="S152" s="196" t="n">
        <x:f t="shared" si="7">IFERROR(P152/L152,0)</x:f>
        <x:v>0.13000000000000006</x:v>
      </x:c>
      <x:c r="T152" s="196" t="n">
        <x:f t="shared" si="8">IFERROR(L152/Q152,0)</x:f>
        <x:v>0.9246166747606337</x:v>
      </x:c>
    </x:row>
    <x:row r="153">
      <x:c r="A153" s="192" t="str">
        <x:f>'Raw Data'!A153</x:f>
        <x:v>ZOM-0149</x:v>
      </x:c>
      <x:c r="B153" s="193" t="n">
        <x:f>'Raw Data'!B153</x:f>
        <x:v>45806</x:v>
      </x:c>
      <x:c r="C153" s="236" t="str">
        <x:f>'Raw Data'!C153</x:f>
        <x:v>North</x:v>
      </x:c>
      <x:c r="D153" s="192" t="str">
        <x:f>'Raw Data'!D153</x:f>
        <x:v>Lucknow</x:v>
      </x:c>
      <x:c r="E153" s="192" t="str">
        <x:f>'Raw Data'!E153</x:f>
        <x:v>Burgers</x:v>
      </x:c>
      <x:c r="F153" s="192" t="str">
        <x:f>'Raw Data'!F153</x:f>
        <x:v>Gold User</x:v>
      </x:c>
      <x:c r="G153" s="192" t="str">
        <x:f>'Raw Data'!G153</x:f>
        <x:v>Gold User Customer 10</x:v>
      </x:c>
      <x:c r="H153" s="192" t="n">
        <x:f>'Raw Data'!H153</x:f>
        <x:v>93</x:v>
      </x:c>
      <x:c r="I153" s="195" t="n">
        <x:f>'Raw Data'!I153</x:f>
        <x:v>348</x:v>
      </x:c>
      <x:c r="J153" s="196" t="n">
        <x:f>'Raw Data'!J153</x:f>
        <x:v>0.03</x:v>
      </x:c>
      <x:c r="K153" s="195" t="n">
        <x:f>'Raw Data'!K153</x:f>
        <x:v>32364</x:v>
      </x:c>
      <x:c r="L153" s="195" t="n">
        <x:f>'Raw Data'!L153</x:f>
        <x:v>31393.079999999998</x:v>
      </x:c>
      <x:c r="M153" s="195" t="n">
        <x:f>'Raw Data'!M153</x:f>
        <x:v>23230.8792</x:v>
      </x:c>
      <x:c r="N153" s="195" t="n">
        <x:f>'Raw Data'!N153</x:f>
        <x:v>8162.200799999999</x:v>
      </x:c>
      <x:c r="O153" s="195" t="n">
        <x:f>'Raw Data'!O153</x:f>
        <x:v>4081.1004</x:v>
      </x:c>
      <x:c r="P153" s="195" t="n">
        <x:f>'Raw Data'!P153</x:f>
        <x:v>4081.100399999999</x:v>
      </x:c>
      <x:c r="Q153" s="195" t="n">
        <x:f>'Raw Data'!Q153</x:f>
        <x:v>31515.08100798235</x:v>
      </x:c>
      <x:c r="R153" s="196" t="n">
        <x:f t="shared" si="6">IFERROR(N153/L153,0)</x:f>
        <x:v>0.25999999999999995</x:v>
      </x:c>
      <x:c r="S153" s="196" t="n">
        <x:f t="shared" si="7">IFERROR(P153/L153,0)</x:f>
        <x:v>0.12999999999999998</x:v>
      </x:c>
      <x:c r="T153" s="196" t="n">
        <x:f t="shared" si="8">IFERROR(L153/Q153,0)</x:f>
        <x:v>0.9961288055089736</x:v>
      </x:c>
    </x:row>
    <x:row r="154">
      <x:c r="A154" s="192" t="str">
        <x:f>'Raw Data'!A154</x:f>
        <x:v>ZOM-0150</x:v>
      </x:c>
      <x:c r="B154" s="193" t="n">
        <x:f>'Raw Data'!B154</x:f>
        <x:v>45807</x:v>
      </x:c>
      <x:c r="C154" s="236" t="str">
        <x:f>'Raw Data'!C154</x:f>
        <x:v>East</x:v>
      </x:c>
      <x:c r="D154" s="192" t="str">
        <x:f>'Raw Data'!D154</x:f>
        <x:v>Patna</x:v>
      </x:c>
      <x:c r="E154" s="192" t="str">
        <x:f>'Raw Data'!E154</x:f>
        <x:v>Pizza</x:v>
      </x:c>
      <x:c r="F154" s="192" t="str">
        <x:f>'Raw Data'!F154</x:f>
        <x:v>Budget</x:v>
      </x:c>
      <x:c r="G154" s="192" t="str">
        <x:f>'Raw Data'!G154</x:f>
        <x:v>Budget Customer 08</x:v>
      </x:c>
      <x:c r="H154" s="192" t="n">
        <x:f>'Raw Data'!H154</x:f>
        <x:v>102</x:v>
      </x:c>
      <x:c r="I154" s="195" t="n">
        <x:f>'Raw Data'!I154</x:f>
        <x:v>545</x:v>
      </x:c>
      <x:c r="J154" s="196" t="n">
        <x:f>'Raw Data'!J154</x:f>
        <x:v>0.1</x:v>
      </x:c>
      <x:c r="K154" s="195" t="n">
        <x:f>'Raw Data'!K154</x:f>
        <x:v>55590</x:v>
      </x:c>
      <x:c r="L154" s="195" t="n">
        <x:f>'Raw Data'!L154</x:f>
        <x:v>50031</x:v>
      </x:c>
      <x:c r="M154" s="195" t="n">
        <x:f>'Raw Data'!M154</x:f>
        <x:v>37022.94</x:v>
      </x:c>
      <x:c r="N154" s="195" t="n">
        <x:f>'Raw Data'!N154</x:f>
        <x:v>13008.059999999998</x:v>
      </x:c>
      <x:c r="O154" s="195" t="n">
        <x:f>'Raw Data'!O154</x:f>
        <x:v>6504.030000000001</x:v>
      </x:c>
      <x:c r="P154" s="195" t="n">
        <x:f>'Raw Data'!P154</x:f>
        <x:v>6504.029999999997</x:v>
      </x:c>
      <x:c r="Q154" s="195" t="n">
        <x:f>'Raw Data'!Q154</x:f>
        <x:v>51529.59847390989</x:v>
      </x:c>
      <x:c r="R154" s="196" t="n">
        <x:f t="shared" si="6">IFERROR(N154/L154,0)</x:f>
        <x:v>0.25999999999999995</x:v>
      </x:c>
      <x:c r="S154" s="196" t="n">
        <x:f t="shared" si="7">IFERROR(P154/L154,0)</x:f>
        <x:v>0.12999999999999995</x:v>
      </x:c>
      <x:c r="T154" s="196" t="n">
        <x:f t="shared" si="8">IFERROR(L154/Q154,0)</x:f>
        <x:v>0.9709177148999394</x:v>
      </x:c>
    </x:row>
    <x:row r="155">
      <x:c r="A155" s="192" t="str">
        <x:f>'Raw Data'!A155</x:f>
        <x:v>ZOM-0151</x:v>
      </x:c>
      <x:c r="B155" s="193" t="n">
        <x:f>'Raw Data'!B155</x:f>
        <x:v>45808</x:v>
      </x:c>
      <x:c r="C155" s="236" t="str">
        <x:f>'Raw Data'!C155</x:f>
        <x:v>North</x:v>
      </x:c>
      <x:c r="D155" s="192" t="str">
        <x:f>'Raw Data'!D155</x:f>
        <x:v>Noida</x:v>
      </x:c>
      <x:c r="E155" s="192" t="str">
        <x:f>'Raw Data'!E155</x:f>
        <x:v>South Indian</x:v>
      </x:c>
      <x:c r="F155" s="192" t="str">
        <x:f>'Raw Data'!F155</x:f>
        <x:v>Repeat User</x:v>
      </x:c>
      <x:c r="G155" s="192" t="str">
        <x:f>'Raw Data'!G155</x:f>
        <x:v>Repeat User Customer 45</x:v>
      </x:c>
      <x:c r="H155" s="192" t="n">
        <x:f>'Raw Data'!H155</x:f>
        <x:v>137</x:v>
      </x:c>
      <x:c r="I155" s="195" t="n">
        <x:f>'Raw Data'!I155</x:f>
        <x:v>313</x:v>
      </x:c>
      <x:c r="J155" s="196" t="n">
        <x:f>'Raw Data'!J155</x:f>
        <x:v>0.05</x:v>
      </x:c>
      <x:c r="K155" s="195" t="n">
        <x:f>'Raw Data'!K155</x:f>
        <x:v>42881</x:v>
      </x:c>
      <x:c r="L155" s="195" t="n">
        <x:f>'Raw Data'!L155</x:f>
        <x:v>40736.95</x:v>
      </x:c>
      <x:c r="M155" s="195" t="n">
        <x:f>'Raw Data'!M155</x:f>
        <x:v>30145.342999999997</x:v>
      </x:c>
      <x:c r="N155" s="195" t="n">
        <x:f>'Raw Data'!N155</x:f>
        <x:v>10591.607</x:v>
      </x:c>
      <x:c r="O155" s="195" t="n">
        <x:f>'Raw Data'!O155</x:f>
        <x:v>5295.8035</x:v>
      </x:c>
      <x:c r="P155" s="195" t="n">
        <x:f>'Raw Data'!P155</x:f>
        <x:v>5295.8035</x:v>
      </x:c>
      <x:c r="Q155" s="195" t="n">
        <x:f>'Raw Data'!Q155</x:f>
        <x:v>43728.071224046005</x:v>
      </x:c>
      <x:c r="R155" s="196" t="n">
        <x:f t="shared" si="6">IFERROR(N155/L155,0)</x:f>
        <x:v>0.26</x:v>
      </x:c>
      <x:c r="S155" s="196" t="n">
        <x:f t="shared" si="7">IFERROR(P155/L155,0)</x:f>
        <x:v>0.13</x:v>
      </x:c>
      <x:c r="T155" s="196" t="n">
        <x:f t="shared" si="8">IFERROR(L155/Q155,0)</x:f>
        <x:v>0.9315972294153877</x:v>
      </x:c>
    </x:row>
    <x:row r="156">
      <x:c r="A156" s="192" t="str">
        <x:f>'Raw Data'!A156</x:f>
        <x:v>ZOM-0152</x:v>
      </x:c>
      <x:c r="B156" s="193" t="n">
        <x:f>'Raw Data'!B156</x:f>
        <x:v>45809</x:v>
      </x:c>
      <x:c r="C156" s="236" t="str">
        <x:f>'Raw Data'!C156</x:f>
        <x:v>Metro</x:v>
      </x:c>
      <x:c r="D156" s="192" t="str">
        <x:f>'Raw Data'!D156</x:f>
        <x:v>Hyderabad</x:v>
      </x:c>
      <x:c r="E156" s="192" t="str">
        <x:f>'Raw Data'!E156</x:f>
        <x:v>Biryani</x:v>
      </x:c>
      <x:c r="F156" s="192" t="str">
        <x:f>'Raw Data'!F156</x:f>
        <x:v>New User</x:v>
      </x:c>
      <x:c r="G156" s="192" t="str">
        <x:f>'Raw Data'!G156</x:f>
        <x:v>New User Customer 21</x:v>
      </x:c>
      <x:c r="H156" s="192" t="n">
        <x:f>'Raw Data'!H156</x:f>
        <x:v>87</x:v>
      </x:c>
      <x:c r="I156" s="195" t="n">
        <x:f>'Raw Data'!I156</x:f>
        <x:v>467</x:v>
      </x:c>
      <x:c r="J156" s="196" t="n">
        <x:f>'Raw Data'!J156</x:f>
        <x:v>0.09</x:v>
      </x:c>
      <x:c r="K156" s="195" t="n">
        <x:f>'Raw Data'!K156</x:f>
        <x:v>40629</x:v>
      </x:c>
      <x:c r="L156" s="195" t="n">
        <x:f>'Raw Data'!L156</x:f>
        <x:v>36972.39</x:v>
      </x:c>
      <x:c r="M156" s="195" t="n">
        <x:f>'Raw Data'!M156</x:f>
        <x:v>27359.5686</x:v>
      </x:c>
      <x:c r="N156" s="195" t="n">
        <x:f>'Raw Data'!N156</x:f>
        <x:v>9612.8214</x:v>
      </x:c>
      <x:c r="O156" s="195" t="n">
        <x:f>'Raw Data'!O156</x:f>
        <x:v>4806.4107</x:v>
      </x:c>
      <x:c r="P156" s="195" t="n">
        <x:f>'Raw Data'!P156</x:f>
        <x:v>4806.4107</x:v>
      </x:c>
      <x:c r="Q156" s="195" t="n">
        <x:f>'Raw Data'!Q156</x:f>
        <x:v>41265.156165563676</x:v>
      </x:c>
      <x:c r="R156" s="196" t="n">
        <x:f t="shared" si="6">IFERROR(N156/L156,0)</x:f>
        <x:v>0.26</x:v>
      </x:c>
      <x:c r="S156" s="196" t="n">
        <x:f t="shared" si="7">IFERROR(P156/L156,0)</x:f>
        <x:v>0.13</x:v>
      </x:c>
      <x:c r="T156" s="196" t="n">
        <x:f t="shared" si="8">IFERROR(L156/Q156,0)</x:f>
        <x:v>0.8959711639442177</x:v>
      </x:c>
    </x:row>
    <x:row r="157">
      <x:c r="A157" s="192" t="str">
        <x:f>'Raw Data'!A157</x:f>
        <x:v>ZOM-0153</x:v>
      </x:c>
      <x:c r="B157" s="193" t="n">
        <x:f>'Raw Data'!B157</x:f>
        <x:v>45810</x:v>
      </x:c>
      <x:c r="C157" s="236" t="str">
        <x:f>'Raw Data'!C157</x:f>
        <x:v>East</x:v>
      </x:c>
      <x:c r="D157" s="192" t="str">
        <x:f>'Raw Data'!D157</x:f>
        <x:v>Kolkata</x:v>
      </x:c>
      <x:c r="E157" s="192" t="str">
        <x:f>'Raw Data'!E157</x:f>
        <x:v>Chinese</x:v>
      </x:c>
      <x:c r="F157" s="192" t="str">
        <x:f>'Raw Data'!F157</x:f>
        <x:v>Repeat User</x:v>
      </x:c>
      <x:c r="G157" s="192" t="str">
        <x:f>'Raw Data'!G157</x:f>
        <x:v>Repeat User Customer 13</x:v>
      </x:c>
      <x:c r="H157" s="192" t="n">
        <x:f>'Raw Data'!H157</x:f>
        <x:v>101</x:v>
      </x:c>
      <x:c r="I157" s="195" t="n">
        <x:f>'Raw Data'!I157</x:f>
        <x:v>522</x:v>
      </x:c>
      <x:c r="J157" s="196" t="n">
        <x:f>'Raw Data'!J157</x:f>
        <x:v>0.05</x:v>
      </x:c>
      <x:c r="K157" s="195" t="n">
        <x:f>'Raw Data'!K157</x:f>
        <x:v>52722</x:v>
      </x:c>
      <x:c r="L157" s="195" t="n">
        <x:f>'Raw Data'!L157</x:f>
        <x:v>50085.899999999994</x:v>
      </x:c>
      <x:c r="M157" s="195" t="n">
        <x:f>'Raw Data'!M157</x:f>
        <x:v>37063.56599999999</x:v>
      </x:c>
      <x:c r="N157" s="195" t="n">
        <x:f>'Raw Data'!N157</x:f>
        <x:v>13022.334000000003</x:v>
      </x:c>
      <x:c r="O157" s="195" t="n">
        <x:f>'Raw Data'!O157</x:f>
        <x:v>6511.1669999999995</x:v>
      </x:c>
      <x:c r="P157" s="195" t="n">
        <x:f>'Raw Data'!P157</x:f>
        <x:v>6511.167000000003</x:v>
      </x:c>
      <x:c r="Q157" s="195" t="n">
        <x:f>'Raw Data'!Q157</x:f>
        <x:v>50815.32573465769</x:v>
      </x:c>
      <x:c r="R157" s="196" t="n">
        <x:f t="shared" si="6">IFERROR(N157/L157,0)</x:f>
        <x:v>0.26000000000000006</x:v>
      </x:c>
      <x:c r="S157" s="196" t="n">
        <x:f t="shared" si="7">IFERROR(P157/L157,0)</x:f>
        <x:v>0.1300000000000001</x:v>
      </x:c>
      <x:c r="T157" s="196" t="n">
        <x:f t="shared" si="8">IFERROR(L157/Q157,0)</x:f>
        <x:v>0.9856455562546911</x:v>
      </x:c>
    </x:row>
    <x:row r="158">
      <x:c r="A158" s="192" t="str">
        <x:f>'Raw Data'!A158</x:f>
        <x:v>ZOM-0154</x:v>
      </x:c>
      <x:c r="B158" s="193" t="n">
        <x:f>'Raw Data'!B158</x:f>
        <x:v>45811</x:v>
      </x:c>
      <x:c r="C158" s="236" t="str">
        <x:f>'Raw Data'!C158</x:f>
        <x:v>Central</x:v>
      </x:c>
      <x:c r="D158" s="192" t="str">
        <x:f>'Raw Data'!D158</x:f>
        <x:v>Indore</x:v>
      </x:c>
      <x:c r="E158" s="192" t="str">
        <x:f>'Raw Data'!E158</x:f>
        <x:v>Healthy</x:v>
      </x:c>
      <x:c r="F158" s="192" t="str">
        <x:f>'Raw Data'!F158</x:f>
        <x:v>New User</x:v>
      </x:c>
      <x:c r="G158" s="192" t="str">
        <x:f>'Raw Data'!G158</x:f>
        <x:v>New User Customer 06</x:v>
      </x:c>
      <x:c r="H158" s="192" t="n">
        <x:f>'Raw Data'!H158</x:f>
        <x:v>118</x:v>
      </x:c>
      <x:c r="I158" s="195" t="n">
        <x:f>'Raw Data'!I158</x:f>
        <x:v>416</x:v>
      </x:c>
      <x:c r="J158" s="196" t="n">
        <x:f>'Raw Data'!J158</x:f>
        <x:v>0.09</x:v>
      </x:c>
      <x:c r="K158" s="195" t="n">
        <x:f>'Raw Data'!K158</x:f>
        <x:v>49088</x:v>
      </x:c>
      <x:c r="L158" s="195" t="n">
        <x:f>'Raw Data'!L158</x:f>
        <x:v>44670.08</x:v>
      </x:c>
      <x:c r="M158" s="195" t="n">
        <x:f>'Raw Data'!M158</x:f>
        <x:v>31269.056</x:v>
      </x:c>
      <x:c r="N158" s="195" t="n">
        <x:f>'Raw Data'!N158</x:f>
        <x:v>13401.024000000001</x:v>
      </x:c>
      <x:c r="O158" s="195" t="n">
        <x:f>'Raw Data'!O158</x:f>
        <x:v>5807.1104000000005</x:v>
      </x:c>
      <x:c r="P158" s="195" t="n">
        <x:f>'Raw Data'!P158</x:f>
        <x:v>7593.913600000001</x:v>
      </x:c>
      <x:c r="Q158" s="195" t="n">
        <x:f>'Raw Data'!Q158</x:f>
        <x:v>47950.373877695325</x:v>
      </x:c>
      <x:c r="R158" s="196" t="n">
        <x:f t="shared" si="6">IFERROR(N158/L158,0)</x:f>
        <x:v>0.3</x:v>
      </x:c>
      <x:c r="S158" s="196" t="n">
        <x:f t="shared" si="7">IFERROR(P158/L158,0)</x:f>
        <x:v>0.17</x:v>
      </x:c>
      <x:c r="T158" s="196" t="n">
        <x:f t="shared" si="8">IFERROR(L158/Q158,0)</x:f>
        <x:v>0.9315898164618651</x:v>
      </x:c>
    </x:row>
    <x:row r="159">
      <x:c r="A159" s="192" t="str">
        <x:f>'Raw Data'!A159</x:f>
        <x:v>ZOM-0155</x:v>
      </x:c>
      <x:c r="B159" s="193" t="n">
        <x:f>'Raw Data'!B159</x:f>
        <x:v>45812</x:v>
      </x:c>
      <x:c r="C159" s="236" t="str">
        <x:f>'Raw Data'!C159</x:f>
        <x:v>North</x:v>
      </x:c>
      <x:c r="D159" s="192" t="str">
        <x:f>'Raw Data'!D159</x:f>
        <x:v>Jaipur</x:v>
      </x:c>
      <x:c r="E159" s="192" t="str">
        <x:f>'Raw Data'!E159</x:f>
        <x:v>Snacks</x:v>
      </x:c>
      <x:c r="F159" s="192" t="str">
        <x:f>'Raw Data'!F159</x:f>
        <x:v>Budget</x:v>
      </x:c>
      <x:c r="G159" s="192" t="str">
        <x:f>'Raw Data'!G159</x:f>
        <x:v>Budget Customer 42</x:v>
      </x:c>
      <x:c r="H159" s="192" t="n">
        <x:f>'Raw Data'!H159</x:f>
        <x:v>115</x:v>
      </x:c>
      <x:c r="I159" s="195" t="n">
        <x:f>'Raw Data'!I159</x:f>
        <x:v>239</x:v>
      </x:c>
      <x:c r="J159" s="196" t="n">
        <x:f>'Raw Data'!J159</x:f>
        <x:v>0.11</x:v>
      </x:c>
      <x:c r="K159" s="195" t="n">
        <x:f>'Raw Data'!K159</x:f>
        <x:v>27485</x:v>
      </x:c>
      <x:c r="L159" s="195" t="n">
        <x:f>'Raw Data'!L159</x:f>
        <x:v>24461.65</x:v>
      </x:c>
      <x:c r="M159" s="195" t="n">
        <x:f>'Raw Data'!M159</x:f>
        <x:v>18101.621</x:v>
      </x:c>
      <x:c r="N159" s="195" t="n">
        <x:f>'Raw Data'!N159</x:f>
        <x:v>6360.029000000002</x:v>
      </x:c>
      <x:c r="O159" s="195" t="n">
        <x:f>'Raw Data'!O159</x:f>
        <x:v>3180.0145</x:v>
      </x:c>
      <x:c r="P159" s="195" t="n">
        <x:f>'Raw Data'!P159</x:f>
        <x:v>3180.014500000002</x:v>
      </x:c>
      <x:c r="Q159" s="195" t="n">
        <x:f>'Raw Data'!Q159</x:f>
        <x:v>27315.97151912605</x:v>
      </x:c>
      <x:c r="R159" s="196" t="n">
        <x:f t="shared" si="6">IFERROR(N159/L159,0)</x:f>
        <x:v>0.26000000000000006</x:v>
      </x:c>
      <x:c r="S159" s="196" t="n">
        <x:f t="shared" si="7">IFERROR(P159/L159,0)</x:f>
        <x:v>0.1300000000000001</x:v>
      </x:c>
      <x:c r="T159" s="196" t="n">
        <x:f t="shared" si="8">IFERROR(L159/Q159,0)</x:f>
        <x:v>0.895507230371524</x:v>
      </x:c>
    </x:row>
    <x:row r="160">
      <x:c r="A160" s="192" t="str">
        <x:f>'Raw Data'!A160</x:f>
        <x:v>ZOM-0156</x:v>
      </x:c>
      <x:c r="B160" s="193" t="n">
        <x:f>'Raw Data'!B160</x:f>
        <x:v>45813</x:v>
      </x:c>
      <x:c r="C160" s="236" t="str">
        <x:f>'Raw Data'!C160</x:f>
        <x:v>North</x:v>
      </x:c>
      <x:c r="D160" s="192" t="str">
        <x:f>'Raw Data'!D160</x:f>
        <x:v>Jaipur</x:v>
      </x:c>
      <x:c r="E160" s="192" t="str">
        <x:f>'Raw Data'!E160</x:f>
        <x:v>Burgers</x:v>
      </x:c>
      <x:c r="F160" s="192" t="str">
        <x:f>'Raw Data'!F160</x:f>
        <x:v>Repeat User</x:v>
      </x:c>
      <x:c r="G160" s="192" t="str">
        <x:f>'Raw Data'!G160</x:f>
        <x:v>Repeat User Customer 56</x:v>
      </x:c>
      <x:c r="H160" s="192" t="n">
        <x:f>'Raw Data'!H160</x:f>
        <x:v>144</x:v>
      </x:c>
      <x:c r="I160" s="195" t="n">
        <x:f>'Raw Data'!I160</x:f>
        <x:v>449</x:v>
      </x:c>
      <x:c r="J160" s="196" t="n">
        <x:f>'Raw Data'!J160</x:f>
        <x:v>0.05</x:v>
      </x:c>
      <x:c r="K160" s="195" t="n">
        <x:f>'Raw Data'!K160</x:f>
        <x:v>64656</x:v>
      </x:c>
      <x:c r="L160" s="195" t="n">
        <x:f>'Raw Data'!L160</x:f>
        <x:v>61423.2</x:v>
      </x:c>
      <x:c r="M160" s="195" t="n">
        <x:f>'Raw Data'!M160</x:f>
        <x:v>45453.168</x:v>
      </x:c>
      <x:c r="N160" s="195" t="n">
        <x:f>'Raw Data'!N160</x:f>
        <x:v>15970.032</x:v>
      </x:c>
      <x:c r="O160" s="195" t="n">
        <x:f>'Raw Data'!O160</x:f>
        <x:v>7985.016</x:v>
      </x:c>
      <x:c r="P160" s="195" t="n">
        <x:f>'Raw Data'!P160</x:f>
        <x:v>7985.016</x:v>
      </x:c>
      <x:c r="Q160" s="195" t="n">
        <x:f>'Raw Data'!Q160</x:f>
        <x:v>65129.70035134047</x:v>
      </x:c>
      <x:c r="R160" s="196" t="n">
        <x:f t="shared" si="6">IFERROR(N160/L160,0)</x:f>
        <x:v>0.26</x:v>
      </x:c>
      <x:c r="S160" s="196" t="n">
        <x:f t="shared" si="7">IFERROR(P160/L160,0)</x:f>
        <x:v>0.13</x:v>
      </x:c>
      <x:c r="T160" s="196" t="n">
        <x:f t="shared" si="8">IFERROR(L160/Q160,0)</x:f>
        <x:v>0.9430904743712031</x:v>
      </x:c>
    </x:row>
    <x:row r="161">
      <x:c r="A161" s="192" t="str">
        <x:f>'Raw Data'!A161</x:f>
        <x:v>ZOM-0157</x:v>
      </x:c>
      <x:c r="B161" s="193" t="n">
        <x:f>'Raw Data'!B161</x:f>
        <x:v>45814</x:v>
      </x:c>
      <x:c r="C161" s="236" t="str">
        <x:f>'Raw Data'!C161</x:f>
        <x:v>North</x:v>
      </x:c>
      <x:c r="D161" s="192" t="str">
        <x:f>'Raw Data'!D161</x:f>
        <x:v>Delhi</x:v>
      </x:c>
      <x:c r="E161" s="192" t="str">
        <x:f>'Raw Data'!E161</x:f>
        <x:v>Chinese</x:v>
      </x:c>
      <x:c r="F161" s="192" t="str">
        <x:f>'Raw Data'!F161</x:f>
        <x:v>Repeat User</x:v>
      </x:c>
      <x:c r="G161" s="192" t="str">
        <x:f>'Raw Data'!G161</x:f>
        <x:v>Repeat User Customer 55</x:v>
      </x:c>
      <x:c r="H161" s="192" t="n">
        <x:f>'Raw Data'!H161</x:f>
        <x:v>93</x:v>
      </x:c>
      <x:c r="I161" s="195" t="n">
        <x:f>'Raw Data'!I161</x:f>
        <x:v>422</x:v>
      </x:c>
      <x:c r="J161" s="196" t="n">
        <x:f>'Raw Data'!J161</x:f>
        <x:v>0.05</x:v>
      </x:c>
      <x:c r="K161" s="195" t="n">
        <x:f>'Raw Data'!K161</x:f>
        <x:v>39246</x:v>
      </x:c>
      <x:c r="L161" s="195" t="n">
        <x:f>'Raw Data'!L161</x:f>
        <x:v>37283.7</x:v>
      </x:c>
      <x:c r="M161" s="195" t="n">
        <x:f>'Raw Data'!M161</x:f>
        <x:v>27589.938</x:v>
      </x:c>
      <x:c r="N161" s="195" t="n">
        <x:f>'Raw Data'!N161</x:f>
        <x:v>9693.761999999999</x:v>
      </x:c>
      <x:c r="O161" s="195" t="n">
        <x:f>'Raw Data'!O161</x:f>
        <x:v>4846.880999999999</x:v>
      </x:c>
      <x:c r="P161" s="195" t="n">
        <x:f>'Raw Data'!P161</x:f>
        <x:v>4846.880999999999</x:v>
      </x:c>
      <x:c r="Q161" s="195" t="n">
        <x:f>'Raw Data'!Q161</x:f>
        <x:v>41287.63792859805</x:v>
      </x:c>
      <x:c r="R161" s="196" t="n">
        <x:f t="shared" si="6">IFERROR(N161/L161,0)</x:f>
        <x:v>0.26</x:v>
      </x:c>
      <x:c r="S161" s="196" t="n">
        <x:f t="shared" si="7">IFERROR(P161/L161,0)</x:f>
        <x:v>0.13</x:v>
      </x:c>
      <x:c r="T161" s="196" t="n">
        <x:f t="shared" si="8">IFERROR(L161/Q161,0)</x:f>
        <x:v>0.903023322973274</x:v>
      </x:c>
    </x:row>
    <x:row r="162">
      <x:c r="A162" s="192" t="str">
        <x:f>'Raw Data'!A162</x:f>
        <x:v>ZOM-0158</x:v>
      </x:c>
      <x:c r="B162" s="193" t="n">
        <x:f>'Raw Data'!B162</x:f>
        <x:v>45815</x:v>
      </x:c>
      <x:c r="C162" s="236" t="str">
        <x:f>'Raw Data'!C162</x:f>
        <x:v>North</x:v>
      </x:c>
      <x:c r="D162" s="192" t="str">
        <x:f>'Raw Data'!D162</x:f>
        <x:v>Noida</x:v>
      </x:c>
      <x:c r="E162" s="192" t="str">
        <x:f>'Raw Data'!E162</x:f>
        <x:v>Burgers</x:v>
      </x:c>
      <x:c r="F162" s="192" t="str">
        <x:f>'Raw Data'!F162</x:f>
        <x:v>Gold User</x:v>
      </x:c>
      <x:c r="G162" s="192" t="str">
        <x:f>'Raw Data'!G162</x:f>
        <x:v>Gold User Customer 10</x:v>
      </x:c>
      <x:c r="H162" s="192" t="n">
        <x:f>'Raw Data'!H162</x:f>
        <x:v>99</x:v>
      </x:c>
      <x:c r="I162" s="195" t="n">
        <x:f>'Raw Data'!I162</x:f>
        <x:v>446</x:v>
      </x:c>
      <x:c r="J162" s="196" t="n">
        <x:f>'Raw Data'!J162</x:f>
        <x:v>0.009999999999999998</x:v>
      </x:c>
      <x:c r="K162" s="195" t="n">
        <x:f>'Raw Data'!K162</x:f>
        <x:v>44154</x:v>
      </x:c>
      <x:c r="L162" s="195" t="n">
        <x:f>'Raw Data'!L162</x:f>
        <x:v>43712.46</x:v>
      </x:c>
      <x:c r="M162" s="195" t="n">
        <x:f>'Raw Data'!M162</x:f>
        <x:v>32347.2204</x:v>
      </x:c>
      <x:c r="N162" s="195" t="n">
        <x:f>'Raw Data'!N162</x:f>
        <x:v>11365.2396</x:v>
      </x:c>
      <x:c r="O162" s="195" t="n">
        <x:f>'Raw Data'!O162</x:f>
        <x:v>5682.6198</x:v>
      </x:c>
      <x:c r="P162" s="195" t="n">
        <x:f>'Raw Data'!P162</x:f>
        <x:v>5682.6198</x:v>
      </x:c>
      <x:c r="Q162" s="195" t="n">
        <x:f>'Raw Data'!Q162</x:f>
        <x:v>48651.65493515118</x:v>
      </x:c>
      <x:c r="R162" s="196" t="n">
        <x:f t="shared" si="6">IFERROR(N162/L162,0)</x:f>
        <x:v>0.26</x:v>
      </x:c>
      <x:c r="S162" s="196" t="n">
        <x:f t="shared" si="7">IFERROR(P162/L162,0)</x:f>
        <x:v>0.13</x:v>
      </x:c>
      <x:c r="T162" s="196" t="n">
        <x:f t="shared" si="8">IFERROR(L162/Q162,0)</x:f>
        <x:v>0.8984783777297044</x:v>
      </x:c>
    </x:row>
    <x:row r="163">
      <x:c r="A163" s="192" t="str">
        <x:f>'Raw Data'!A163</x:f>
        <x:v>ZOM-0159</x:v>
      </x:c>
      <x:c r="B163" s="193" t="n">
        <x:f>'Raw Data'!B163</x:f>
        <x:v>45816</x:v>
      </x:c>
      <x:c r="C163" s="236" t="str">
        <x:f>'Raw Data'!C163</x:f>
        <x:v>North</x:v>
      </x:c>
      <x:c r="D163" s="192" t="str">
        <x:f>'Raw Data'!D163</x:f>
        <x:v>Lucknow</x:v>
      </x:c>
      <x:c r="E163" s="192" t="str">
        <x:f>'Raw Data'!E163</x:f>
        <x:v>Desserts</x:v>
      </x:c>
      <x:c r="F163" s="192" t="str">
        <x:f>'Raw Data'!F163</x:f>
        <x:v>Corporate</x:v>
      </x:c>
      <x:c r="G163" s="192" t="str">
        <x:f>'Raw Data'!G163</x:f>
        <x:v>Corporate Customer 17</x:v>
      </x:c>
      <x:c r="H163" s="192" t="n">
        <x:f>'Raw Data'!H163</x:f>
        <x:v>169</x:v>
      </x:c>
      <x:c r="I163" s="195" t="n">
        <x:f>'Raw Data'!I163</x:f>
        <x:v>235</x:v>
      </x:c>
      <x:c r="J163" s="196" t="n">
        <x:f>'Raw Data'!J163</x:f>
        <x:v>0</x:v>
      </x:c>
      <x:c r="K163" s="195" t="n">
        <x:f>'Raw Data'!K163</x:f>
        <x:v>39715</x:v>
      </x:c>
      <x:c r="L163" s="195" t="n">
        <x:f>'Raw Data'!L163</x:f>
        <x:v>39715</x:v>
      </x:c>
      <x:c r="M163" s="195" t="n">
        <x:f>'Raw Data'!M163</x:f>
        <x:v>27403.35</x:v>
      </x:c>
      <x:c r="N163" s="195" t="n">
        <x:f>'Raw Data'!N163</x:f>
        <x:v>12311.650000000001</x:v>
      </x:c>
      <x:c r="O163" s="195" t="n">
        <x:f>'Raw Data'!O163</x:f>
        <x:v>5162.95</x:v>
      </x:c>
      <x:c r="P163" s="195" t="n">
        <x:f>'Raw Data'!P163</x:f>
        <x:v>7148.700000000002</x:v>
      </x:c>
      <x:c r="Q163" s="195" t="n">
        <x:f>'Raw Data'!Q163</x:f>
        <x:v>43389.53840520067</x:v>
      </x:c>
      <x:c r="R163" s="196" t="n">
        <x:f t="shared" si="6">IFERROR(N163/L163,0)</x:f>
        <x:v>0.31000000000000005</x:v>
      </x:c>
      <x:c r="S163" s="196" t="n">
        <x:f t="shared" si="7">IFERROR(P163/L163,0)</x:f>
        <x:v>0.18000000000000005</x:v>
      </x:c>
      <x:c r="T163" s="196" t="n">
        <x:f t="shared" si="8">IFERROR(L163/Q163,0)</x:f>
        <x:v>0.9153128025726994</x:v>
      </x:c>
    </x:row>
    <x:row r="164">
      <x:c r="A164" s="192" t="str">
        <x:f>'Raw Data'!A164</x:f>
        <x:v>ZOM-0160</x:v>
      </x:c>
      <x:c r="B164" s="193" t="n">
        <x:f>'Raw Data'!B164</x:f>
        <x:v>45817</x:v>
      </x:c>
      <x:c r="C164" s="236" t="str">
        <x:f>'Raw Data'!C164</x:f>
        <x:v>East</x:v>
      </x:c>
      <x:c r="D164" s="192" t="str">
        <x:f>'Raw Data'!D164</x:f>
        <x:v>Guwahati</x:v>
      </x:c>
      <x:c r="E164" s="192" t="str">
        <x:f>'Raw Data'!E164</x:f>
        <x:v>South Indian</x:v>
      </x:c>
      <x:c r="F164" s="192" t="str">
        <x:f>'Raw Data'!F164</x:f>
        <x:v>Corporate</x:v>
      </x:c>
      <x:c r="G164" s="192" t="str">
        <x:f>'Raw Data'!G164</x:f>
        <x:v>Corporate Customer 52</x:v>
      </x:c>
      <x:c r="H164" s="192" t="n">
        <x:f>'Raw Data'!H164</x:f>
        <x:v>142</x:v>
      </x:c>
      <x:c r="I164" s="195" t="n">
        <x:f>'Raw Data'!I164</x:f>
        <x:v>433</x:v>
      </x:c>
      <x:c r="J164" s="196" t="n">
        <x:f>'Raw Data'!J164</x:f>
        <x:v>0.02</x:v>
      </x:c>
      <x:c r="K164" s="195" t="n">
        <x:f>'Raw Data'!K164</x:f>
        <x:v>61486</x:v>
      </x:c>
      <x:c r="L164" s="195" t="n">
        <x:f>'Raw Data'!L164</x:f>
        <x:v>60256.28</x:v>
      </x:c>
      <x:c r="M164" s="195" t="n">
        <x:f>'Raw Data'!M164</x:f>
        <x:v>44589.6472</x:v>
      </x:c>
      <x:c r="N164" s="195" t="n">
        <x:f>'Raw Data'!N164</x:f>
        <x:v>15666.6328</x:v>
      </x:c>
      <x:c r="O164" s="195" t="n">
        <x:f>'Raw Data'!O164</x:f>
        <x:v>7833.3164</x:v>
      </x:c>
      <x:c r="P164" s="195" t="n">
        <x:f>'Raw Data'!P164</x:f>
        <x:v>7833.3164</x:v>
      </x:c>
      <x:c r="Q164" s="195" t="n">
        <x:f>'Raw Data'!Q164</x:f>
        <x:v>62026.93183398533</x:v>
      </x:c>
      <x:c r="R164" s="196" t="n">
        <x:f t="shared" si="6">IFERROR(N164/L164,0)</x:f>
        <x:v>0.26</x:v>
      </x:c>
      <x:c r="S164" s="196" t="n">
        <x:f t="shared" si="7">IFERROR(P164/L164,0)</x:f>
        <x:v>0.13</x:v>
      </x:c>
      <x:c r="T164" s="196" t="n">
        <x:f t="shared" si="8">IFERROR(L164/Q164,0)</x:f>
        <x:v>0.9714534996068407</x:v>
      </x:c>
    </x:row>
    <x:row r="165">
      <x:c r="A165" s="192" t="str">
        <x:f>'Raw Data'!A165</x:f>
        <x:v>ZOM-0161</x:v>
      </x:c>
      <x:c r="B165" s="193" t="n">
        <x:f>'Raw Data'!B165</x:f>
        <x:v>45818</x:v>
      </x:c>
      <x:c r="C165" s="236" t="str">
        <x:f>'Raw Data'!C165</x:f>
        <x:v>East</x:v>
      </x:c>
      <x:c r="D165" s="192" t="str">
        <x:f>'Raw Data'!D165</x:f>
        <x:v>Patna</x:v>
      </x:c>
      <x:c r="E165" s="192" t="str">
        <x:f>'Raw Data'!E165</x:f>
        <x:v>South Indian</x:v>
      </x:c>
      <x:c r="F165" s="192" t="str">
        <x:f>'Raw Data'!F165</x:f>
        <x:v>Budget</x:v>
      </x:c>
      <x:c r="G165" s="192" t="str">
        <x:f>'Raw Data'!G165</x:f>
        <x:v>Budget Customer 56</x:v>
      </x:c>
      <x:c r="H165" s="192" t="n">
        <x:f>'Raw Data'!H165</x:f>
        <x:v>68</x:v>
      </x:c>
      <x:c r="I165" s="195" t="n">
        <x:f>'Raw Data'!I165</x:f>
        <x:v>363</x:v>
      </x:c>
      <x:c r="J165" s="196" t="n">
        <x:f>'Raw Data'!J165</x:f>
        <x:v>0.11</x:v>
      </x:c>
      <x:c r="K165" s="195" t="n">
        <x:f>'Raw Data'!K165</x:f>
        <x:v>24684</x:v>
      </x:c>
      <x:c r="L165" s="195" t="n">
        <x:f>'Raw Data'!L165</x:f>
        <x:v>21968.760000000002</x:v>
      </x:c>
      <x:c r="M165" s="195" t="n">
        <x:f>'Raw Data'!M165</x:f>
        <x:v>16256.8824</x:v>
      </x:c>
      <x:c r="N165" s="195" t="n">
        <x:f>'Raw Data'!N165</x:f>
        <x:v>5711.877600000002</x:v>
      </x:c>
      <x:c r="O165" s="195" t="n">
        <x:f>'Raw Data'!O165</x:f>
        <x:v>2855.9388000000004</x:v>
      </x:c>
      <x:c r="P165" s="195" t="n">
        <x:f>'Raw Data'!P165</x:f>
        <x:v>2855.9388000000013</x:v>
      </x:c>
      <x:c r="Q165" s="195" t="n">
        <x:f>'Raw Data'!Q165</x:f>
        <x:v>22347.50675947993</x:v>
      </x:c>
      <x:c r="R165" s="196" t="n">
        <x:f t="shared" si="6">IFERROR(N165/L165,0)</x:f>
        <x:v>0.26000000000000006</x:v>
      </x:c>
      <x:c r="S165" s="196" t="n">
        <x:f t="shared" si="7">IFERROR(P165/L165,0)</x:f>
        <x:v>0.13000000000000003</x:v>
      </x:c>
      <x:c r="T165" s="196" t="n">
        <x:f t="shared" si="8">IFERROR(L165/Q165,0)</x:f>
        <x:v>0.983051945635087</x:v>
      </x:c>
    </x:row>
    <x:row r="166">
      <x:c r="A166" s="192" t="str">
        <x:f>'Raw Data'!A166</x:f>
        <x:v>ZOM-0162</x:v>
      </x:c>
      <x:c r="B166" s="193" t="n">
        <x:f>'Raw Data'!B166</x:f>
        <x:v>45819</x:v>
      </x:c>
      <x:c r="C166" s="236" t="str">
        <x:f>'Raw Data'!C166</x:f>
        <x:v>East</x:v>
      </x:c>
      <x:c r="D166" s="192" t="str">
        <x:f>'Raw Data'!D166</x:f>
        <x:v>Patna</x:v>
      </x:c>
      <x:c r="E166" s="192" t="str">
        <x:f>'Raw Data'!E166</x:f>
        <x:v>Snacks</x:v>
      </x:c>
      <x:c r="F166" s="192" t="str">
        <x:f>'Raw Data'!F166</x:f>
        <x:v>New User</x:v>
      </x:c>
      <x:c r="G166" s="192" t="str">
        <x:f>'Raw Data'!G166</x:f>
        <x:v>New User Customer 16</x:v>
      </x:c>
      <x:c r="H166" s="192" t="n">
        <x:f>'Raw Data'!H166</x:f>
        <x:v>103</x:v>
      </x:c>
      <x:c r="I166" s="195" t="n">
        <x:f>'Raw Data'!I166</x:f>
        <x:v>250</x:v>
      </x:c>
      <x:c r="J166" s="196" t="n">
        <x:f>'Raw Data'!J166</x:f>
        <x:v>0.06</x:v>
      </x:c>
      <x:c r="K166" s="195" t="n">
        <x:f>'Raw Data'!K166</x:f>
        <x:v>25750</x:v>
      </x:c>
      <x:c r="L166" s="195" t="n">
        <x:f>'Raw Data'!L166</x:f>
        <x:v>24205</x:v>
      </x:c>
      <x:c r="M166" s="195" t="n">
        <x:f>'Raw Data'!M166</x:f>
        <x:v>17911.7</x:v>
      </x:c>
      <x:c r="N166" s="195" t="n">
        <x:f>'Raw Data'!N166</x:f>
        <x:v>6293.299999999999</x:v>
      </x:c>
      <x:c r="O166" s="195" t="n">
        <x:f>'Raw Data'!O166</x:f>
        <x:v>3146.65</x:v>
      </x:c>
      <x:c r="P166" s="195" t="n">
        <x:f>'Raw Data'!P166</x:f>
        <x:v>3146.649999999999</x:v>
      </x:c>
      <x:c r="Q166" s="195" t="n">
        <x:f>'Raw Data'!Q166</x:f>
        <x:v>24981.898225619618</x:v>
      </x:c>
      <x:c r="R166" s="196" t="n">
        <x:f t="shared" si="6">IFERROR(N166/L166,0)</x:f>
        <x:v>0.25999999999999995</x:v>
      </x:c>
      <x:c r="S166" s="196" t="n">
        <x:f t="shared" si="7">IFERROR(P166/L166,0)</x:f>
        <x:v>0.12999999999999998</x:v>
      </x:c>
      <x:c r="T166" s="196" t="n">
        <x:f t="shared" si="8">IFERROR(L166/Q166,0)</x:f>
        <x:v>0.9689015534927251</x:v>
      </x:c>
    </x:row>
    <x:row r="167">
      <x:c r="A167" s="192" t="str">
        <x:f>'Raw Data'!A167</x:f>
        <x:v>ZOM-0163</x:v>
      </x:c>
      <x:c r="B167" s="193" t="n">
        <x:f>'Raw Data'!B167</x:f>
        <x:v>45820</x:v>
      </x:c>
      <x:c r="C167" s="236" t="str">
        <x:f>'Raw Data'!C167</x:f>
        <x:v>North</x:v>
      </x:c>
      <x:c r="D167" s="192" t="str">
        <x:f>'Raw Data'!D167</x:f>
        <x:v>Delhi</x:v>
      </x:c>
      <x:c r="E167" s="192" t="str">
        <x:f>'Raw Data'!E167</x:f>
        <x:v>Pizza</x:v>
      </x:c>
      <x:c r="F167" s="192" t="str">
        <x:f>'Raw Data'!F167</x:f>
        <x:v>Repeat User</x:v>
      </x:c>
      <x:c r="G167" s="192" t="str">
        <x:f>'Raw Data'!G167</x:f>
        <x:v>Repeat User Customer 13</x:v>
      </x:c>
      <x:c r="H167" s="192" t="n">
        <x:f>'Raw Data'!H167</x:f>
        <x:v>153</x:v>
      </x:c>
      <x:c r="I167" s="195" t="n">
        <x:f>'Raw Data'!I167</x:f>
        <x:v>620</x:v>
      </x:c>
      <x:c r="J167" s="196" t="n">
        <x:f>'Raw Data'!J167</x:f>
        <x:v>0.05</x:v>
      </x:c>
      <x:c r="K167" s="195" t="n">
        <x:f>'Raw Data'!K167</x:f>
        <x:v>94860</x:v>
      </x:c>
      <x:c r="L167" s="195" t="n">
        <x:f>'Raw Data'!L167</x:f>
        <x:v>90117</x:v>
      </x:c>
      <x:c r="M167" s="195" t="n">
        <x:f>'Raw Data'!M167</x:f>
        <x:v>66686.58</x:v>
      </x:c>
      <x:c r="N167" s="195" t="n">
        <x:f>'Raw Data'!N167</x:f>
        <x:v>23430.42</x:v>
      </x:c>
      <x:c r="O167" s="195" t="n">
        <x:f>'Raw Data'!O167</x:f>
        <x:v>11715.210000000001</x:v>
      </x:c>
      <x:c r="P167" s="195" t="n">
        <x:f>'Raw Data'!P167</x:f>
        <x:v>11715.209999999997</x:v>
      </x:c>
      <x:c r="Q167" s="195" t="n">
        <x:f>'Raw Data'!Q167</x:f>
        <x:v>97915.31167441959</x:v>
      </x:c>
      <x:c r="R167" s="196" t="n">
        <x:f t="shared" si="6">IFERROR(N167/L167,0)</x:f>
        <x:v>0.25999999999999995</x:v>
      </x:c>
      <x:c r="S167" s="196" t="n">
        <x:f t="shared" si="7">IFERROR(P167/L167,0)</x:f>
        <x:v>0.12999999999999998</x:v>
      </x:c>
      <x:c r="T167" s="196" t="n">
        <x:f t="shared" si="8">IFERROR(L167/Q167,0)</x:f>
        <x:v>0.9203565658826688</x:v>
      </x:c>
    </x:row>
    <x:row r="168">
      <x:c r="A168" s="192" t="str">
        <x:f>'Raw Data'!A168</x:f>
        <x:v>ZOM-0164</x:v>
      </x:c>
      <x:c r="B168" s="193" t="n">
        <x:f>'Raw Data'!B168</x:f>
        <x:v>45821</x:v>
      </x:c>
      <x:c r="C168" s="236" t="str">
        <x:f>'Raw Data'!C168</x:f>
        <x:v>Central</x:v>
      </x:c>
      <x:c r="D168" s="192" t="str">
        <x:f>'Raw Data'!D168</x:f>
        <x:v>Kanpur</x:v>
      </x:c>
      <x:c r="E168" s="192" t="str">
        <x:f>'Raw Data'!E168</x:f>
        <x:v>Snacks</x:v>
      </x:c>
      <x:c r="F168" s="192" t="str">
        <x:f>'Raw Data'!F168</x:f>
        <x:v>Gold User</x:v>
      </x:c>
      <x:c r="G168" s="192" t="str">
        <x:f>'Raw Data'!G168</x:f>
        <x:v>Gold User Customer 14</x:v>
      </x:c>
      <x:c r="H168" s="192" t="n">
        <x:f>'Raw Data'!H168</x:f>
        <x:v>108</x:v>
      </x:c>
      <x:c r="I168" s="195" t="n">
        <x:f>'Raw Data'!I168</x:f>
        <x:v>248</x:v>
      </x:c>
      <x:c r="J168" s="196" t="n">
        <x:f>'Raw Data'!J168</x:f>
        <x:v>0.009999999999999998</x:v>
      </x:c>
      <x:c r="K168" s="195" t="n">
        <x:f>'Raw Data'!K168</x:f>
        <x:v>26784</x:v>
      </x:c>
      <x:c r="L168" s="195" t="n">
        <x:f>'Raw Data'!L168</x:f>
        <x:v>26516.16</x:v>
      </x:c>
      <x:c r="M168" s="195" t="n">
        <x:f>'Raw Data'!M168</x:f>
        <x:v>19621.9584</x:v>
      </x:c>
      <x:c r="N168" s="195" t="n">
        <x:f>'Raw Data'!N168</x:f>
        <x:v>6894.2016</x:v>
      </x:c>
      <x:c r="O168" s="195" t="n">
        <x:f>'Raw Data'!O168</x:f>
        <x:v>3447.1008</x:v>
      </x:c>
      <x:c r="P168" s="195" t="n">
        <x:f>'Raw Data'!P168</x:f>
        <x:v>3447.1008</x:v>
      </x:c>
      <x:c r="Q168" s="195" t="n">
        <x:f>'Raw Data'!Q168</x:f>
        <x:v>29592.098083870842</x:v>
      </x:c>
      <x:c r="R168" s="196" t="n">
        <x:f t="shared" si="6">IFERROR(N168/L168,0)</x:f>
        <x:v>0.26</x:v>
      </x:c>
      <x:c r="S168" s="196" t="n">
        <x:f t="shared" si="7">IFERROR(P168/L168,0)</x:f>
        <x:v>0.13</x:v>
      </x:c>
      <x:c r="T168" s="196" t="n">
        <x:f t="shared" si="8">IFERROR(L168/Q168,0)</x:f>
        <x:v>0.8960554241489427</x:v>
      </x:c>
    </x:row>
    <x:row r="169">
      <x:c r="A169" s="192" t="str">
        <x:f>'Raw Data'!A169</x:f>
        <x:v>ZOM-0165</x:v>
      </x:c>
      <x:c r="B169" s="193" t="n">
        <x:f>'Raw Data'!B169</x:f>
        <x:v>45822</x:v>
      </x:c>
      <x:c r="C169" s="236" t="str">
        <x:f>'Raw Data'!C169</x:f>
        <x:v>West</x:v>
      </x:c>
      <x:c r="D169" s="192" t="str">
        <x:f>'Raw Data'!D169</x:f>
        <x:v>Mumbai</x:v>
      </x:c>
      <x:c r="E169" s="192" t="str">
        <x:f>'Raw Data'!E169</x:f>
        <x:v>North Indian</x:v>
      </x:c>
      <x:c r="F169" s="192" t="str">
        <x:f>'Raw Data'!F169</x:f>
        <x:v>Gold User</x:v>
      </x:c>
      <x:c r="G169" s="192" t="str">
        <x:f>'Raw Data'!G169</x:f>
        <x:v>Gold User Customer 47</x:v>
      </x:c>
      <x:c r="H169" s="192" t="n">
        <x:f>'Raw Data'!H169</x:f>
        <x:v>164</x:v>
      </x:c>
      <x:c r="I169" s="195" t="n">
        <x:f>'Raw Data'!I169</x:f>
        <x:v>490</x:v>
      </x:c>
      <x:c r="J169" s="196" t="n">
        <x:f>'Raw Data'!J169</x:f>
        <x:v>0.009999999999999998</x:v>
      </x:c>
      <x:c r="K169" s="195" t="n">
        <x:f>'Raw Data'!K169</x:f>
        <x:v>80360</x:v>
      </x:c>
      <x:c r="L169" s="195" t="n">
        <x:f>'Raw Data'!L169</x:f>
        <x:v>79556.4</x:v>
      </x:c>
      <x:c r="M169" s="195" t="n">
        <x:f>'Raw Data'!M169</x:f>
        <x:v>58076.17199999999</x:v>
      </x:c>
      <x:c r="N169" s="195" t="n">
        <x:f>'Raw Data'!N169</x:f>
        <x:v>21480.228000000003</x:v>
      </x:c>
      <x:c r="O169" s="195" t="n">
        <x:f>'Raw Data'!O169</x:f>
        <x:v>10342.332</x:v>
      </x:c>
      <x:c r="P169" s="195" t="n">
        <x:f>'Raw Data'!P169</x:f>
        <x:v>11137.896000000002</x:v>
      </x:c>
      <x:c r="Q169" s="195" t="n">
        <x:f>'Raw Data'!Q169</x:f>
        <x:v>87981.00013335023</x:v>
      </x:c>
      <x:c r="R169" s="196" t="n">
        <x:f t="shared" si="6">IFERROR(N169/L169,0)</x:f>
        <x:v>0.2700000000000001</x:v>
      </x:c>
      <x:c r="S169" s="196" t="n">
        <x:f t="shared" si="7">IFERROR(P169/L169,0)</x:f>
        <x:v>0.14000000000000004</x:v>
      </x:c>
      <x:c r="T169" s="196" t="n">
        <x:f t="shared" si="8">IFERROR(L169/Q169,0)</x:f>
        <x:v>0.9042452333960592</x:v>
      </x:c>
    </x:row>
    <x:row r="170">
      <x:c r="A170" s="192" t="str">
        <x:f>'Raw Data'!A170</x:f>
        <x:v>ZOM-0166</x:v>
      </x:c>
      <x:c r="B170" s="193" t="n">
        <x:f>'Raw Data'!B170</x:f>
        <x:v>45823</x:v>
      </x:c>
      <x:c r="C170" s="236" t="str">
        <x:f>'Raw Data'!C170</x:f>
        <x:v>South</x:v>
      </x:c>
      <x:c r="D170" s="192" t="str">
        <x:f>'Raw Data'!D170</x:f>
        <x:v>Kochi</x:v>
      </x:c>
      <x:c r="E170" s="192" t="str">
        <x:f>'Raw Data'!E170</x:f>
        <x:v>Pizza</x:v>
      </x:c>
      <x:c r="F170" s="192" t="str">
        <x:f>'Raw Data'!F170</x:f>
        <x:v>Repeat User</x:v>
      </x:c>
      <x:c r="G170" s="192" t="str">
        <x:f>'Raw Data'!G170</x:f>
        <x:v>Repeat User Customer 49</x:v>
      </x:c>
      <x:c r="H170" s="192" t="n">
        <x:f>'Raw Data'!H170</x:f>
        <x:v>155</x:v>
      </x:c>
      <x:c r="I170" s="195" t="n">
        <x:f>'Raw Data'!I170</x:f>
        <x:v>658</x:v>
      </x:c>
      <x:c r="J170" s="196" t="n">
        <x:f>'Raw Data'!J170</x:f>
        <x:v>0.05</x:v>
      </x:c>
      <x:c r="K170" s="195" t="n">
        <x:f>'Raw Data'!K170</x:f>
        <x:v>101990</x:v>
      </x:c>
      <x:c r="L170" s="195" t="n">
        <x:f>'Raw Data'!L170</x:f>
        <x:v>96890.5</x:v>
      </x:c>
      <x:c r="M170" s="195" t="n">
        <x:f>'Raw Data'!M170</x:f>
        <x:v>71698.97</x:v>
      </x:c>
      <x:c r="N170" s="195" t="n">
        <x:f>'Raw Data'!N170</x:f>
        <x:v>25191.53</x:v>
      </x:c>
      <x:c r="O170" s="195" t="n">
        <x:f>'Raw Data'!O170</x:f>
        <x:v>12595.765000000001</x:v>
      </x:c>
      <x:c r="P170" s="195" t="n">
        <x:f>'Raw Data'!P170</x:f>
        <x:v>12595.764999999998</x:v>
      </x:c>
      <x:c r="Q170" s="195" t="n">
        <x:f>'Raw Data'!Q170</x:f>
        <x:v>102753.40844134142</x:v>
      </x:c>
      <x:c r="R170" s="196" t="n">
        <x:f t="shared" si="6">IFERROR(N170/L170,0)</x:f>
        <x:v>0.26</x:v>
      </x:c>
      <x:c r="S170" s="196" t="n">
        <x:f t="shared" si="7">IFERROR(P170/L170,0)</x:f>
        <x:v>0.12999999999999998</x:v>
      </x:c>
      <x:c r="T170" s="196" t="n">
        <x:f t="shared" si="8">IFERROR(L170/Q170,0)</x:f>
        <x:v>0.9429419565708288</x:v>
      </x:c>
    </x:row>
    <x:row r="171">
      <x:c r="A171" s="192" t="str">
        <x:f>'Raw Data'!A171</x:f>
        <x:v>ZOM-0167</x:v>
      </x:c>
      <x:c r="B171" s="193" t="n">
        <x:f>'Raw Data'!B171</x:f>
        <x:v>45824</x:v>
      </x:c>
      <x:c r="C171" s="236" t="str">
        <x:f>'Raw Data'!C171</x:f>
        <x:v>West</x:v>
      </x:c>
      <x:c r="D171" s="192" t="str">
        <x:f>'Raw Data'!D171</x:f>
        <x:v>Nagpur</x:v>
      </x:c>
      <x:c r="E171" s="192" t="str">
        <x:f>'Raw Data'!E171</x:f>
        <x:v>Burgers</x:v>
      </x:c>
      <x:c r="F171" s="192" t="str">
        <x:f>'Raw Data'!F171</x:f>
        <x:v>New User</x:v>
      </x:c>
      <x:c r="G171" s="192" t="str">
        <x:f>'Raw Data'!G171</x:f>
        <x:v>New User Customer 39</x:v>
      </x:c>
      <x:c r="H171" s="192" t="n">
        <x:f>'Raw Data'!H171</x:f>
        <x:v>88</x:v>
      </x:c>
      <x:c r="I171" s="195" t="n">
        <x:f>'Raw Data'!I171</x:f>
        <x:v>406</x:v>
      </x:c>
      <x:c r="J171" s="196" t="n">
        <x:f>'Raw Data'!J171</x:f>
        <x:v>0.08</x:v>
      </x:c>
      <x:c r="K171" s="195" t="n">
        <x:f>'Raw Data'!K171</x:f>
        <x:v>35728</x:v>
      </x:c>
      <x:c r="L171" s="195" t="n">
        <x:f>'Raw Data'!L171</x:f>
        <x:v>32869.76</x:v>
      </x:c>
      <x:c r="M171" s="195" t="n">
        <x:f>'Raw Data'!M171</x:f>
        <x:v>24323.6224</x:v>
      </x:c>
      <x:c r="N171" s="195" t="n">
        <x:f>'Raw Data'!N171</x:f>
        <x:v>8546.137600000002</x:v>
      </x:c>
      <x:c r="O171" s="195" t="n">
        <x:f>'Raw Data'!O171</x:f>
        <x:v>4273.0688</x:v>
      </x:c>
      <x:c r="P171" s="195" t="n">
        <x:f>'Raw Data'!P171</x:f>
        <x:v>4273.068800000002</x:v>
      </x:c>
      <x:c r="Q171" s="195" t="n">
        <x:f>'Raw Data'!Q171</x:f>
        <x:v>33438.804017394876</x:v>
      </x:c>
      <x:c r="R171" s="196" t="n">
        <x:f t="shared" si="6">IFERROR(N171/L171,0)</x:f>
        <x:v>0.26000000000000006</x:v>
      </x:c>
      <x:c r="S171" s="196" t="n">
        <x:f t="shared" si="7">IFERROR(P171/L171,0)</x:f>
        <x:v>0.13000000000000006</x:v>
      </x:c>
      <x:c r="T171" s="196" t="n">
        <x:f t="shared" si="8">IFERROR(L171/Q171,0)</x:f>
        <x:v>0.9829825248205989</x:v>
      </x:c>
    </x:row>
    <x:row r="172">
      <x:c r="A172" s="192" t="str">
        <x:f>'Raw Data'!A172</x:f>
        <x:v>ZOM-0168</x:v>
      </x:c>
      <x:c r="B172" s="193" t="n">
        <x:f>'Raw Data'!B172</x:f>
        <x:v>45825</x:v>
      </x:c>
      <x:c r="C172" s="236" t="str">
        <x:f>'Raw Data'!C172</x:f>
        <x:v>West</x:v>
      </x:c>
      <x:c r="D172" s="192" t="str">
        <x:f>'Raw Data'!D172</x:f>
        <x:v>Nagpur</x:v>
      </x:c>
      <x:c r="E172" s="192" t="str">
        <x:f>'Raw Data'!E172</x:f>
        <x:v>North Indian</x:v>
      </x:c>
      <x:c r="F172" s="192" t="str">
        <x:f>'Raw Data'!F172</x:f>
        <x:v>New User</x:v>
      </x:c>
      <x:c r="G172" s="192" t="str">
        <x:f>'Raw Data'!G172</x:f>
        <x:v>New User Customer 60</x:v>
      </x:c>
      <x:c r="H172" s="192" t="n">
        <x:f>'Raw Data'!H172</x:f>
        <x:v>120</x:v>
      </x:c>
      <x:c r="I172" s="195" t="n">
        <x:f>'Raw Data'!I172</x:f>
        <x:v>606</x:v>
      </x:c>
      <x:c r="J172" s="196" t="n">
        <x:f>'Raw Data'!J172</x:f>
        <x:v>0.09</x:v>
      </x:c>
      <x:c r="K172" s="195" t="n">
        <x:f>'Raw Data'!K172</x:f>
        <x:v>72720</x:v>
      </x:c>
      <x:c r="L172" s="195" t="n">
        <x:f>'Raw Data'!L172</x:f>
        <x:v>66175.2</x:v>
      </x:c>
      <x:c r="M172" s="195" t="n">
        <x:f>'Raw Data'!M172</x:f>
        <x:v>48307.89599999999</x:v>
      </x:c>
      <x:c r="N172" s="195" t="n">
        <x:f>'Raw Data'!N172</x:f>
        <x:v>17867.304000000004</x:v>
      </x:c>
      <x:c r="O172" s="195" t="n">
        <x:f>'Raw Data'!O172</x:f>
        <x:v>8602.776</x:v>
      </x:c>
      <x:c r="P172" s="195" t="n">
        <x:f>'Raw Data'!P172</x:f>
        <x:v>9264.528000000004</x:v>
      </x:c>
      <x:c r="Q172" s="195" t="n">
        <x:f>'Raw Data'!Q172</x:f>
        <x:v>67285.20416276193</x:v>
      </x:c>
      <x:c r="R172" s="196" t="n">
        <x:f t="shared" si="6">IFERROR(N172/L172,0)</x:f>
        <x:v>0.2700000000000001</x:v>
      </x:c>
      <x:c r="S172" s="196" t="n">
        <x:f t="shared" si="7">IFERROR(P172/L172,0)</x:f>
        <x:v>0.14000000000000007</x:v>
      </x:c>
      <x:c r="T172" s="196" t="n">
        <x:f t="shared" si="8">IFERROR(L172/Q172,0)</x:f>
        <x:v>0.983502997775308</x:v>
      </x:c>
    </x:row>
    <x:row r="173">
      <x:c r="A173" s="192" t="str">
        <x:f>'Raw Data'!A173</x:f>
        <x:v>ZOM-0169</x:v>
      </x:c>
      <x:c r="B173" s="193" t="n">
        <x:f>'Raw Data'!B173</x:f>
        <x:v>45826</x:v>
      </x:c>
      <x:c r="C173" s="236" t="str">
        <x:f>'Raw Data'!C173</x:f>
        <x:v>East</x:v>
      </x:c>
      <x:c r="D173" s="192" t="str">
        <x:f>'Raw Data'!D173</x:f>
        <x:v>Bhubaneswar</x:v>
      </x:c>
      <x:c r="E173" s="192" t="str">
        <x:f>'Raw Data'!E173</x:f>
        <x:v>South Indian</x:v>
      </x:c>
      <x:c r="F173" s="192" t="str">
        <x:f>'Raw Data'!F173</x:f>
        <x:v>Corporate</x:v>
      </x:c>
      <x:c r="G173" s="192" t="str">
        <x:f>'Raw Data'!G173</x:f>
        <x:v>Corporate Customer 24</x:v>
      </x:c>
      <x:c r="H173" s="192" t="n">
        <x:f>'Raw Data'!H173</x:f>
        <x:v>116</x:v>
      </x:c>
      <x:c r="I173" s="195" t="n">
        <x:f>'Raw Data'!I173</x:f>
        <x:v>387</x:v>
      </x:c>
      <x:c r="J173" s="196" t="n">
        <x:f>'Raw Data'!J173</x:f>
        <x:v>0.03</x:v>
      </x:c>
      <x:c r="K173" s="195" t="n">
        <x:f>'Raw Data'!K173</x:f>
        <x:v>44892</x:v>
      </x:c>
      <x:c r="L173" s="195" t="n">
        <x:f>'Raw Data'!L173</x:f>
        <x:v>43545.24</x:v>
      </x:c>
      <x:c r="M173" s="195" t="n">
        <x:f>'Raw Data'!M173</x:f>
        <x:v>32223.4776</x:v>
      </x:c>
      <x:c r="N173" s="195" t="n">
        <x:f>'Raw Data'!N173</x:f>
        <x:v>11321.7624</x:v>
      </x:c>
      <x:c r="O173" s="195" t="n">
        <x:f>'Raw Data'!O173</x:f>
        <x:v>5660.8812</x:v>
      </x:c>
      <x:c r="P173" s="195" t="n">
        <x:f>'Raw Data'!P173</x:f>
        <x:v>5660.8812</x:v>
      </x:c>
      <x:c r="Q173" s="195" t="n">
        <x:f>'Raw Data'!Q173</x:f>
        <x:v>47807.87744679868</x:v>
      </x:c>
      <x:c r="R173" s="196" t="n">
        <x:f t="shared" si="6">IFERROR(N173/L173,0)</x:f>
        <x:v>0.26</x:v>
      </x:c>
      <x:c r="S173" s="196" t="n">
        <x:f t="shared" si="7">IFERROR(P173/L173,0)</x:f>
        <x:v>0.13</x:v>
      </x:c>
      <x:c r="T173" s="196" t="n">
        <x:f t="shared" si="8">IFERROR(L173/Q173,0)</x:f>
        <x:v>0.9108381782575015</x:v>
      </x:c>
    </x:row>
    <x:row r="174">
      <x:c r="A174" s="192" t="str">
        <x:f>'Raw Data'!A174</x:f>
        <x:v>ZOM-0170</x:v>
      </x:c>
      <x:c r="B174" s="193" t="n">
        <x:f>'Raw Data'!B174</x:f>
        <x:v>45827</x:v>
      </x:c>
      <x:c r="C174" s="236" t="str">
        <x:f>'Raw Data'!C174</x:f>
        <x:v>South</x:v>
      </x:c>
      <x:c r="D174" s="192" t="str">
        <x:f>'Raw Data'!D174</x:f>
        <x:v>Bengaluru</x:v>
      </x:c>
      <x:c r="E174" s="192" t="str">
        <x:f>'Raw Data'!E174</x:f>
        <x:v>Snacks</x:v>
      </x:c>
      <x:c r="F174" s="192" t="str">
        <x:f>'Raw Data'!F174</x:f>
        <x:v>Corporate</x:v>
      </x:c>
      <x:c r="G174" s="192" t="str">
        <x:f>'Raw Data'!G174</x:f>
        <x:v>Corporate Customer 38</x:v>
      </x:c>
      <x:c r="H174" s="192" t="n">
        <x:f>'Raw Data'!H174</x:f>
        <x:v>189</x:v>
      </x:c>
      <x:c r="I174" s="195" t="n">
        <x:f>'Raw Data'!I174</x:f>
        <x:v>200</x:v>
      </x:c>
      <x:c r="J174" s="196" t="n">
        <x:f>'Raw Data'!J174</x:f>
        <x:v>0.03</x:v>
      </x:c>
      <x:c r="K174" s="195" t="n">
        <x:f>'Raw Data'!K174</x:f>
        <x:v>37800</x:v>
      </x:c>
      <x:c r="L174" s="195" t="n">
        <x:f>'Raw Data'!L174</x:f>
        <x:v>36666</x:v>
      </x:c>
      <x:c r="M174" s="195" t="n">
        <x:f>'Raw Data'!M174</x:f>
        <x:v>27132.84</x:v>
      </x:c>
      <x:c r="N174" s="195" t="n">
        <x:f>'Raw Data'!N174</x:f>
        <x:v>9533.16</x:v>
      </x:c>
      <x:c r="O174" s="195" t="n">
        <x:f>'Raw Data'!O174</x:f>
        <x:v>4766.58</x:v>
      </x:c>
      <x:c r="P174" s="195" t="n">
        <x:f>'Raw Data'!P174</x:f>
        <x:v>4766.58</x:v>
      </x:c>
      <x:c r="Q174" s="195" t="n">
        <x:f>'Raw Data'!Q174</x:f>
        <x:v>40942.97243715831</x:v>
      </x:c>
      <x:c r="R174" s="196" t="n">
        <x:f t="shared" si="6">IFERROR(N174/L174,0)</x:f>
        <x:v>0.26</x:v>
      </x:c>
      <x:c r="S174" s="196" t="n">
        <x:f t="shared" si="7">IFERROR(P174/L174,0)</x:f>
        <x:v>0.13</x:v>
      </x:c>
      <x:c r="T174" s="196" t="n">
        <x:f t="shared" si="8">IFERROR(L174/Q174,0)</x:f>
        <x:v>0.8955383016286164</x:v>
      </x:c>
    </x:row>
    <x:row r="175">
      <x:c r="A175" s="192" t="str">
        <x:f>'Raw Data'!A175</x:f>
        <x:v>ZOM-0171</x:v>
      </x:c>
      <x:c r="B175" s="193" t="n">
        <x:f>'Raw Data'!B175</x:f>
        <x:v>45828</x:v>
      </x:c>
      <x:c r="C175" s="236" t="str">
        <x:f>'Raw Data'!C175</x:f>
        <x:v>West</x:v>
      </x:c>
      <x:c r="D175" s="192" t="str">
        <x:f>'Raw Data'!D175</x:f>
        <x:v>Mumbai</x:v>
      </x:c>
      <x:c r="E175" s="192" t="str">
        <x:f>'Raw Data'!E175</x:f>
        <x:v>Chinese</x:v>
      </x:c>
      <x:c r="F175" s="192" t="str">
        <x:f>'Raw Data'!F175</x:f>
        <x:v>New User</x:v>
      </x:c>
      <x:c r="G175" s="192" t="str">
        <x:f>'Raw Data'!G175</x:f>
        <x:v>New User Customer 45</x:v>
      </x:c>
      <x:c r="H175" s="192" t="n">
        <x:f>'Raw Data'!H175</x:f>
        <x:v>160</x:v>
      </x:c>
      <x:c r="I175" s="195" t="n">
        <x:f>'Raw Data'!I175</x:f>
        <x:v>497</x:v>
      </x:c>
      <x:c r="J175" s="196" t="n">
        <x:f>'Raw Data'!J175</x:f>
        <x:v>0.09</x:v>
      </x:c>
      <x:c r="K175" s="195" t="n">
        <x:f>'Raw Data'!K175</x:f>
        <x:v>79520</x:v>
      </x:c>
      <x:c r="L175" s="195" t="n">
        <x:f>'Raw Data'!L175</x:f>
        <x:v>72363.2</x:v>
      </x:c>
      <x:c r="M175" s="195" t="n">
        <x:f>'Raw Data'!M175</x:f>
        <x:v>53548.768</x:v>
      </x:c>
      <x:c r="N175" s="195" t="n">
        <x:f>'Raw Data'!N175</x:f>
        <x:v>18814.432</x:v>
      </x:c>
      <x:c r="O175" s="195" t="n">
        <x:f>'Raw Data'!O175</x:f>
        <x:v>9407.216</x:v>
      </x:c>
      <x:c r="P175" s="195" t="n">
        <x:f>'Raw Data'!P175</x:f>
        <x:v>9407.216</x:v>
      </x:c>
      <x:c r="Q175" s="195" t="n">
        <x:f>'Raw Data'!Q175</x:f>
        <x:v>72637.34520452924</x:v>
      </x:c>
      <x:c r="R175" s="196" t="n">
        <x:f t="shared" si="6">IFERROR(N175/L175,0)</x:f>
        <x:v>0.26</x:v>
      </x:c>
      <x:c r="S175" s="196" t="n">
        <x:f t="shared" si="7">IFERROR(P175/L175,0)</x:f>
        <x:v>0.13</x:v>
      </x:c>
      <x:c r="T175" s="196" t="n">
        <x:f t="shared" si="8">IFERROR(L175/Q175,0)</x:f>
        <x:v>0.9962258366717931</x:v>
      </x:c>
    </x:row>
    <x:row r="176">
      <x:c r="A176" s="192" t="str">
        <x:f>'Raw Data'!A176</x:f>
        <x:v>ZOM-0172</x:v>
      </x:c>
      <x:c r="B176" s="193" t="n">
        <x:f>'Raw Data'!B176</x:f>
        <x:v>45829</x:v>
      </x:c>
      <x:c r="C176" s="236" t="str">
        <x:f>'Raw Data'!C176</x:f>
        <x:v>North</x:v>
      </x:c>
      <x:c r="D176" s="192" t="str">
        <x:f>'Raw Data'!D176</x:f>
        <x:v>Delhi</x:v>
      </x:c>
      <x:c r="E176" s="192" t="str">
        <x:f>'Raw Data'!E176</x:f>
        <x:v>South Indian</x:v>
      </x:c>
      <x:c r="F176" s="192" t="str">
        <x:f>'Raw Data'!F176</x:f>
        <x:v>Repeat User</x:v>
      </x:c>
      <x:c r="G176" s="192" t="str">
        <x:f>'Raw Data'!G176</x:f>
        <x:v>Repeat User Customer 55</x:v>
      </x:c>
      <x:c r="H176" s="192" t="n">
        <x:f>'Raw Data'!H176</x:f>
        <x:v>126</x:v>
      </x:c>
      <x:c r="I176" s="195" t="n">
        <x:f>'Raw Data'!I176</x:f>
        <x:v>402</x:v>
      </x:c>
      <x:c r="J176" s="196" t="n">
        <x:f>'Raw Data'!J176</x:f>
        <x:v>0.060000000000000005</x:v>
      </x:c>
      <x:c r="K176" s="195" t="n">
        <x:f>'Raw Data'!K176</x:f>
        <x:v>50652</x:v>
      </x:c>
      <x:c r="L176" s="195" t="n">
        <x:f>'Raw Data'!L176</x:f>
        <x:v>47612.88</x:v>
      </x:c>
      <x:c r="M176" s="195" t="n">
        <x:f>'Raw Data'!M176</x:f>
        <x:v>35233.5312</x:v>
      </x:c>
      <x:c r="N176" s="195" t="n">
        <x:f>'Raw Data'!N176</x:f>
        <x:v>12379.3488</x:v>
      </x:c>
      <x:c r="O176" s="195" t="n">
        <x:f>'Raw Data'!O176</x:f>
        <x:v>6189.6744</x:v>
      </x:c>
      <x:c r="P176" s="195" t="n">
        <x:f>'Raw Data'!P176</x:f>
        <x:v>6189.6744</x:v>
      </x:c>
      <x:c r="Q176" s="195" t="n">
        <x:f>'Raw Data'!Q176</x:f>
        <x:v>50307.41932302189</x:v>
      </x:c>
      <x:c r="R176" s="196" t="n">
        <x:f t="shared" si="6">IFERROR(N176/L176,0)</x:f>
        <x:v>0.26</x:v>
      </x:c>
      <x:c r="S176" s="196" t="n">
        <x:f t="shared" si="7">IFERROR(P176/L176,0)</x:f>
        <x:v>0.13</x:v>
      </x:c>
      <x:c r="T176" s="196" t="n">
        <x:f t="shared" si="8">IFERROR(L176/Q176,0)</x:f>
        <x:v>0.9464385301555549</x:v>
      </x:c>
    </x:row>
    <x:row r="177">
      <x:c r="A177" s="192" t="str">
        <x:f>'Raw Data'!A177</x:f>
        <x:v>ZOM-0173</x:v>
      </x:c>
      <x:c r="B177" s="193" t="n">
        <x:f>'Raw Data'!B177</x:f>
        <x:v>45830</x:v>
      </x:c>
      <x:c r="C177" s="236" t="str">
        <x:f>'Raw Data'!C177</x:f>
        <x:v>Central</x:v>
      </x:c>
      <x:c r="D177" s="192" t="str">
        <x:f>'Raw Data'!D177</x:f>
        <x:v>Bhopal</x:v>
      </x:c>
      <x:c r="E177" s="192" t="str">
        <x:f>'Raw Data'!E177</x:f>
        <x:v>Desserts</x:v>
      </x:c>
      <x:c r="F177" s="192" t="str">
        <x:f>'Raw Data'!F177</x:f>
        <x:v>Gold User</x:v>
      </x:c>
      <x:c r="G177" s="192" t="str">
        <x:f>'Raw Data'!G177</x:f>
        <x:v>Gold User Customer 59</x:v>
      </x:c>
      <x:c r="H177" s="192" t="n">
        <x:f>'Raw Data'!H177</x:f>
        <x:v>140</x:v>
      </x:c>
      <x:c r="I177" s="195" t="n">
        <x:f>'Raw Data'!I177</x:f>
        <x:v>269</x:v>
      </x:c>
      <x:c r="J177" s="196" t="n">
        <x:f>'Raw Data'!J177</x:f>
        <x:v>0.04</x:v>
      </x:c>
      <x:c r="K177" s="195" t="n">
        <x:f>'Raw Data'!K177</x:f>
        <x:v>37660</x:v>
      </x:c>
      <x:c r="L177" s="195" t="n">
        <x:f>'Raw Data'!L177</x:f>
        <x:v>36153.6</x:v>
      </x:c>
      <x:c r="M177" s="195" t="n">
        <x:f>'Raw Data'!M177</x:f>
        <x:v>24945.983999999997</x:v>
      </x:c>
      <x:c r="N177" s="195" t="n">
        <x:f>'Raw Data'!N177</x:f>
        <x:v>11207.616000000002</x:v>
      </x:c>
      <x:c r="O177" s="195" t="n">
        <x:f>'Raw Data'!O177</x:f>
        <x:v>4699.968</x:v>
      </x:c>
      <x:c r="P177" s="195" t="n">
        <x:f>'Raw Data'!P177</x:f>
        <x:v>6507.648000000002</x:v>
      </x:c>
      <x:c r="Q177" s="195" t="n">
        <x:f>'Raw Data'!Q177</x:f>
        <x:v>36904.940169500194</x:v>
      </x:c>
      <x:c r="R177" s="196" t="n">
        <x:f t="shared" si="6">IFERROR(N177/L177,0)</x:f>
        <x:v>0.31000000000000005</x:v>
      </x:c>
      <x:c r="S177" s="196" t="n">
        <x:f t="shared" si="7">IFERROR(P177/L177,0)</x:f>
        <x:v>0.18000000000000005</x:v>
      </x:c>
      <x:c r="T177" s="196" t="n">
        <x:f t="shared" si="8">IFERROR(L177/Q177,0)</x:f>
        <x:v>0.9796412034256288</x:v>
      </x:c>
    </x:row>
    <x:row r="178">
      <x:c r="A178" s="192" t="str">
        <x:f>'Raw Data'!A178</x:f>
        <x:v>ZOM-0174</x:v>
      </x:c>
      <x:c r="B178" s="193" t="n">
        <x:f>'Raw Data'!B178</x:f>
        <x:v>45831</x:v>
      </x:c>
      <x:c r="C178" s="236" t="str">
        <x:f>'Raw Data'!C178</x:f>
        <x:v>West</x:v>
      </x:c>
      <x:c r="D178" s="192" t="str">
        <x:f>'Raw Data'!D178</x:f>
        <x:v>Nagpur</x:v>
      </x:c>
      <x:c r="E178" s="192" t="str">
        <x:f>'Raw Data'!E178</x:f>
        <x:v>Pizza</x:v>
      </x:c>
      <x:c r="F178" s="192" t="str">
        <x:f>'Raw Data'!F178</x:f>
        <x:v>Budget</x:v>
      </x:c>
      <x:c r="G178" s="192" t="str">
        <x:f>'Raw Data'!G178</x:f>
        <x:v>Budget Customer 20</x:v>
      </x:c>
      <x:c r="H178" s="192" t="n">
        <x:f>'Raw Data'!H178</x:f>
        <x:v>95</x:v>
      </x:c>
      <x:c r="I178" s="195" t="n">
        <x:f>'Raw Data'!I178</x:f>
        <x:v>671</x:v>
      </x:c>
      <x:c r="J178" s="196" t="n">
        <x:f>'Raw Data'!J178</x:f>
        <x:v>0.1</x:v>
      </x:c>
      <x:c r="K178" s="195" t="n">
        <x:f>'Raw Data'!K178</x:f>
        <x:v>63745</x:v>
      </x:c>
      <x:c r="L178" s="195" t="n">
        <x:f>'Raw Data'!L178</x:f>
        <x:v>57370.5</x:v>
      </x:c>
      <x:c r="M178" s="195" t="n">
        <x:f>'Raw Data'!M178</x:f>
        <x:v>42454.17</x:v>
      </x:c>
      <x:c r="N178" s="195" t="n">
        <x:f>'Raw Data'!N178</x:f>
        <x:v>14916.330000000002</x:v>
      </x:c>
      <x:c r="O178" s="195" t="n">
        <x:f>'Raw Data'!O178</x:f>
        <x:v>7458.165</x:v>
      </x:c>
      <x:c r="P178" s="195" t="n">
        <x:f>'Raw Data'!P178</x:f>
        <x:v>7458.165000000002</x:v>
      </x:c>
      <x:c r="Q178" s="195" t="n">
        <x:f>'Raw Data'!Q178</x:f>
        <x:v>59425.505535248136</x:v>
      </x:c>
      <x:c r="R178" s="196" t="n">
        <x:f t="shared" si="6">IFERROR(N178/L178,0)</x:f>
        <x:v>0.26</x:v>
      </x:c>
      <x:c r="S178" s="196" t="n">
        <x:f t="shared" si="7">IFERROR(P178/L178,0)</x:f>
        <x:v>0.13000000000000003</x:v>
      </x:c>
      <x:c r="T178" s="196" t="n">
        <x:f t="shared" si="8">IFERROR(L178/Q178,0)</x:f>
        <x:v>0.9654187959069324</x:v>
      </x:c>
    </x:row>
    <x:row r="179">
      <x:c r="A179" s="192" t="str">
        <x:f>'Raw Data'!A179</x:f>
        <x:v>ZOM-0175</x:v>
      </x:c>
      <x:c r="B179" s="193" t="n">
        <x:f>'Raw Data'!B179</x:f>
        <x:v>45832</x:v>
      </x:c>
      <x:c r="C179" s="236" t="str">
        <x:f>'Raw Data'!C179</x:f>
        <x:v>Central</x:v>
      </x:c>
      <x:c r="D179" s="192" t="str">
        <x:f>'Raw Data'!D179</x:f>
        <x:v>Indore</x:v>
      </x:c>
      <x:c r="E179" s="192" t="str">
        <x:f>'Raw Data'!E179</x:f>
        <x:v>Burgers</x:v>
      </x:c>
      <x:c r="F179" s="192" t="str">
        <x:f>'Raw Data'!F179</x:f>
        <x:v>Gold User</x:v>
      </x:c>
      <x:c r="G179" s="192" t="str">
        <x:f>'Raw Data'!G179</x:f>
        <x:v>Gold User Customer 58</x:v>
      </x:c>
      <x:c r="H179" s="192" t="n">
        <x:f>'Raw Data'!H179</x:f>
        <x:v>130</x:v>
      </x:c>
      <x:c r="I179" s="195" t="n">
        <x:f>'Raw Data'!I179</x:f>
        <x:v>398</x:v>
      </x:c>
      <x:c r="J179" s="196" t="n">
        <x:f>'Raw Data'!J179</x:f>
        <x:v>0.03</x:v>
      </x:c>
      <x:c r="K179" s="195" t="n">
        <x:f>'Raw Data'!K179</x:f>
        <x:v>51740</x:v>
      </x:c>
      <x:c r="L179" s="195" t="n">
        <x:f>'Raw Data'!L179</x:f>
        <x:v>50187.799999999996</x:v>
      </x:c>
      <x:c r="M179" s="195" t="n">
        <x:f>'Raw Data'!M179</x:f>
        <x:v>37138.971999999994</x:v>
      </x:c>
      <x:c r="N179" s="195" t="n">
        <x:f>'Raw Data'!N179</x:f>
        <x:v>13048.828000000001</x:v>
      </x:c>
      <x:c r="O179" s="195" t="n">
        <x:f>'Raw Data'!O179</x:f>
        <x:v>6524.414</x:v>
      </x:c>
      <x:c r="P179" s="195" t="n">
        <x:f>'Raw Data'!P179</x:f>
        <x:v>6524.414000000002</x:v>
      </x:c>
      <x:c r="Q179" s="195" t="n">
        <x:f>'Raw Data'!Q179</x:f>
        <x:v>53459.18661153348</x:v>
      </x:c>
      <x:c r="R179" s="196" t="n">
        <x:f t="shared" si="6">IFERROR(N179/L179,0)</x:f>
        <x:v>0.26000000000000006</x:v>
      </x:c>
      <x:c r="S179" s="196" t="n">
        <x:f t="shared" si="7">IFERROR(P179/L179,0)</x:f>
        <x:v>0.13000000000000003</x:v>
      </x:c>
      <x:c r="T179" s="196" t="n">
        <x:f t="shared" si="8">IFERROR(L179/Q179,0)</x:f>
        <x:v>0.9388059037391395</x:v>
      </x:c>
    </x:row>
    <x:row r="180">
      <x:c r="A180" s="192" t="str">
        <x:f>'Raw Data'!A180</x:f>
        <x:v>ZOM-0176</x:v>
      </x:c>
      <x:c r="B180" s="193" t="n">
        <x:f>'Raw Data'!B180</x:f>
        <x:v>45833</x:v>
      </x:c>
      <x:c r="C180" s="236" t="str">
        <x:f>'Raw Data'!C180</x:f>
        <x:v>Metro</x:v>
      </x:c>
      <x:c r="D180" s="192" t="str">
        <x:f>'Raw Data'!D180</x:f>
        <x:v>Bengaluru</x:v>
      </x:c>
      <x:c r="E180" s="192" t="str">
        <x:f>'Raw Data'!E180</x:f>
        <x:v>Snacks</x:v>
      </x:c>
      <x:c r="F180" s="192" t="str">
        <x:f>'Raw Data'!F180</x:f>
        <x:v>Budget</x:v>
      </x:c>
      <x:c r="G180" s="192" t="str">
        <x:f>'Raw Data'!G180</x:f>
        <x:v>Budget Customer 31</x:v>
      </x:c>
      <x:c r="H180" s="192" t="n">
        <x:f>'Raw Data'!H180</x:f>
        <x:v>102</x:v>
      </x:c>
      <x:c r="I180" s="195" t="n">
        <x:f>'Raw Data'!I180</x:f>
        <x:v>201</x:v>
      </x:c>
      <x:c r="J180" s="196" t="n">
        <x:f>'Raw Data'!J180</x:f>
        <x:v>0.08</x:v>
      </x:c>
      <x:c r="K180" s="195" t="n">
        <x:f>'Raw Data'!K180</x:f>
        <x:v>20502</x:v>
      </x:c>
      <x:c r="L180" s="195" t="n">
        <x:f>'Raw Data'!L180</x:f>
        <x:v>18861.84</x:v>
      </x:c>
      <x:c r="M180" s="195" t="n">
        <x:f>'Raw Data'!M180</x:f>
        <x:v>13957.7616</x:v>
      </x:c>
      <x:c r="N180" s="195" t="n">
        <x:f>'Raw Data'!N180</x:f>
        <x:v>4904.0784</x:v>
      </x:c>
      <x:c r="O180" s="195" t="n">
        <x:f>'Raw Data'!O180</x:f>
        <x:v>2452.0392</x:v>
      </x:c>
      <x:c r="P180" s="195" t="n">
        <x:f>'Raw Data'!P180</x:f>
        <x:v>2452.0392</x:v>
      </x:c>
      <x:c r="Q180" s="195" t="n">
        <x:f>'Raw Data'!Q180</x:f>
        <x:v>19442.28062812137</x:v>
      </x:c>
      <x:c r="R180" s="196" t="n">
        <x:f t="shared" si="6">IFERROR(N180/L180,0)</x:f>
        <x:v>0.26</x:v>
      </x:c>
      <x:c r="S180" s="196" t="n">
        <x:f t="shared" si="7">IFERROR(P180/L180,0)</x:f>
        <x:v>0.13</x:v>
      </x:c>
      <x:c r="T180" s="196" t="n">
        <x:f t="shared" si="8">IFERROR(L180/Q180,0)</x:f>
        <x:v>0.9701454454226003</x:v>
      </x:c>
    </x:row>
    <x:row r="181">
      <x:c r="A181" s="192" t="str">
        <x:f>'Raw Data'!A181</x:f>
        <x:v>ZOM-0177</x:v>
      </x:c>
      <x:c r="B181" s="193" t="n">
        <x:f>'Raw Data'!B181</x:f>
        <x:v>45834</x:v>
      </x:c>
      <x:c r="C181" s="236" t="str">
        <x:f>'Raw Data'!C181</x:f>
        <x:v>South</x:v>
      </x:c>
      <x:c r="D181" s="192" t="str">
        <x:f>'Raw Data'!D181</x:f>
        <x:v>Coimbatore</x:v>
      </x:c>
      <x:c r="E181" s="192" t="str">
        <x:f>'Raw Data'!E181</x:f>
        <x:v>Biryani</x:v>
      </x:c>
      <x:c r="F181" s="192" t="str">
        <x:f>'Raw Data'!F181</x:f>
        <x:v>Corporate</x:v>
      </x:c>
      <x:c r="G181" s="192" t="str">
        <x:f>'Raw Data'!G181</x:f>
        <x:v>Corporate Customer 41</x:v>
      </x:c>
      <x:c r="H181" s="192" t="n">
        <x:f>'Raw Data'!H181</x:f>
        <x:v>131</x:v>
      </x:c>
      <x:c r="I181" s="195" t="n">
        <x:f>'Raw Data'!I181</x:f>
        <x:v>404</x:v>
      </x:c>
      <x:c r="J181" s="196" t="n">
        <x:f>'Raw Data'!J181</x:f>
        <x:v>0.02</x:v>
      </x:c>
      <x:c r="K181" s="195" t="n">
        <x:f>'Raw Data'!K181</x:f>
        <x:v>52924</x:v>
      </x:c>
      <x:c r="L181" s="195" t="n">
        <x:f>'Raw Data'!L181</x:f>
        <x:v>51865.52</x:v>
      </x:c>
      <x:c r="M181" s="195" t="n">
        <x:f>'Raw Data'!M181</x:f>
        <x:v>38380.4848</x:v>
      </x:c>
      <x:c r="N181" s="195" t="n">
        <x:f>'Raw Data'!N181</x:f>
        <x:v>13485.035199999998</x:v>
      </x:c>
      <x:c r="O181" s="195" t="n">
        <x:f>'Raw Data'!O181</x:f>
        <x:v>6742.5176</x:v>
      </x:c>
      <x:c r="P181" s="195" t="n">
        <x:f>'Raw Data'!P181</x:f>
        <x:v>6742.517599999998</x:v>
      </x:c>
      <x:c r="Q181" s="195" t="n">
        <x:f>'Raw Data'!Q181</x:f>
        <x:v>55170.64916078795</x:v>
      </x:c>
      <x:c r="R181" s="196" t="n">
        <x:f t="shared" si="6">IFERROR(N181/L181,0)</x:f>
        <x:v>0.26</x:v>
      </x:c>
      <x:c r="S181" s="196" t="n">
        <x:f t="shared" si="7">IFERROR(P181/L181,0)</x:f>
        <x:v>0.12999999999999998</x:v>
      </x:c>
      <x:c r="T181" s="196" t="n">
        <x:f t="shared" si="8">IFERROR(L181/Q181,0)</x:f>
        <x:v>0.940092617885362</x:v>
      </x:c>
    </x:row>
    <x:row r="182">
      <x:c r="A182" s="192" t="str">
        <x:f>'Raw Data'!A182</x:f>
        <x:v>ZOM-0178</x:v>
      </x:c>
      <x:c r="B182" s="193" t="n">
        <x:f>'Raw Data'!B182</x:f>
        <x:v>45835</x:v>
      </x:c>
      <x:c r="C182" s="236" t="str">
        <x:f>'Raw Data'!C182</x:f>
        <x:v>South</x:v>
      </x:c>
      <x:c r="D182" s="192" t="str">
        <x:f>'Raw Data'!D182</x:f>
        <x:v>Bengaluru</x:v>
      </x:c>
      <x:c r="E182" s="192" t="str">
        <x:f>'Raw Data'!E182</x:f>
        <x:v>South Indian</x:v>
      </x:c>
      <x:c r="F182" s="192" t="str">
        <x:f>'Raw Data'!F182</x:f>
        <x:v>Budget</x:v>
      </x:c>
      <x:c r="G182" s="192" t="str">
        <x:f>'Raw Data'!G182</x:f>
        <x:v>Budget Customer 27</x:v>
      </x:c>
      <x:c r="H182" s="192" t="n">
        <x:f>'Raw Data'!H182</x:f>
        <x:v>73</x:v>
      </x:c>
      <x:c r="I182" s="195" t="n">
        <x:f>'Raw Data'!I182</x:f>
        <x:v>401</x:v>
      </x:c>
      <x:c r="J182" s="196" t="n">
        <x:f>'Raw Data'!J182</x:f>
        <x:v>0.1</x:v>
      </x:c>
      <x:c r="K182" s="195" t="n">
        <x:f>'Raw Data'!K182</x:f>
        <x:v>29273</x:v>
      </x:c>
      <x:c r="L182" s="195" t="n">
        <x:f>'Raw Data'!L182</x:f>
        <x:v>26345.7</x:v>
      </x:c>
      <x:c r="M182" s="195" t="n">
        <x:f>'Raw Data'!M182</x:f>
        <x:v>19495.818</x:v>
      </x:c>
      <x:c r="N182" s="195" t="n">
        <x:f>'Raw Data'!N182</x:f>
        <x:v>6849.882000000001</x:v>
      </x:c>
      <x:c r="O182" s="195" t="n">
        <x:f>'Raw Data'!O182</x:f>
        <x:v>3424.9410000000003</x:v>
      </x:c>
      <x:c r="P182" s="195" t="n">
        <x:f>'Raw Data'!P182</x:f>
        <x:v>3424.941000000001</x:v>
      </x:c>
      <x:c r="Q182" s="195" t="n">
        <x:f>'Raw Data'!Q182</x:f>
        <x:v>29283.03377326251</x:v>
      </x:c>
      <x:c r="R182" s="196" t="n">
        <x:f t="shared" si="6">IFERROR(N182/L182,0)</x:f>
        <x:v>0.26000000000000006</x:v>
      </x:c>
      <x:c r="S182" s="196" t="n">
        <x:f t="shared" si="7">IFERROR(P182/L182,0)</x:f>
        <x:v>0.13000000000000003</x:v>
      </x:c>
      <x:c r="T182" s="196" t="n">
        <x:f t="shared" si="8">IFERROR(L182/Q182,0)</x:f>
        <x:v>0.8996916167905901</x:v>
      </x:c>
    </x:row>
    <x:row r="183">
      <x:c r="A183" s="192" t="str">
        <x:f>'Raw Data'!A183</x:f>
        <x:v>ZOM-0179</x:v>
      </x:c>
      <x:c r="B183" s="193" t="n">
        <x:f>'Raw Data'!B183</x:f>
        <x:v>45836</x:v>
      </x:c>
      <x:c r="C183" s="236" t="str">
        <x:f>'Raw Data'!C183</x:f>
        <x:v>East</x:v>
      </x:c>
      <x:c r="D183" s="192" t="str">
        <x:f>'Raw Data'!D183</x:f>
        <x:v>Ranchi</x:v>
      </x:c>
      <x:c r="E183" s="192" t="str">
        <x:f>'Raw Data'!E183</x:f>
        <x:v>South Indian</x:v>
      </x:c>
      <x:c r="F183" s="192" t="str">
        <x:f>'Raw Data'!F183</x:f>
        <x:v>Repeat User</x:v>
      </x:c>
      <x:c r="G183" s="192" t="str">
        <x:f>'Raw Data'!G183</x:f>
        <x:v>Repeat User Customer 35</x:v>
      </x:c>
      <x:c r="H183" s="192" t="n">
        <x:f>'Raw Data'!H183</x:f>
        <x:v>99</x:v>
      </x:c>
      <x:c r="I183" s="195" t="n">
        <x:f>'Raw Data'!I183</x:f>
        <x:v>345</x:v>
      </x:c>
      <x:c r="J183" s="196" t="n">
        <x:f>'Raw Data'!J183</x:f>
        <x:v>0.030000000000000002</x:v>
      </x:c>
      <x:c r="K183" s="195" t="n">
        <x:f>'Raw Data'!K183</x:f>
        <x:v>34155</x:v>
      </x:c>
      <x:c r="L183" s="195" t="n">
        <x:f>'Raw Data'!L183</x:f>
        <x:v>33130.35</x:v>
      </x:c>
      <x:c r="M183" s="195" t="n">
        <x:f>'Raw Data'!M183</x:f>
        <x:v>24516.459</x:v>
      </x:c>
      <x:c r="N183" s="195" t="n">
        <x:f>'Raw Data'!N183</x:f>
        <x:v>8613.891</x:v>
      </x:c>
      <x:c r="O183" s="195" t="n">
        <x:f>'Raw Data'!O183</x:f>
        <x:v>4306.9455</x:v>
      </x:c>
      <x:c r="P183" s="195" t="n">
        <x:f>'Raw Data'!P183</x:f>
        <x:v>4306.9455</x:v>
      </x:c>
      <x:c r="Q183" s="195" t="n">
        <x:f>'Raw Data'!Q183</x:f>
        <x:v>35412.898672484844</x:v>
      </x:c>
      <x:c r="R183" s="196" t="n">
        <x:f t="shared" si="6">IFERROR(N183/L183,0)</x:f>
        <x:v>0.26</x:v>
      </x:c>
      <x:c r="S183" s="196" t="n">
        <x:f t="shared" si="7">IFERROR(P183/L183,0)</x:f>
        <x:v>0.13</x:v>
      </x:c>
      <x:c r="T183" s="196" t="n">
        <x:f t="shared" si="8">IFERROR(L183/Q183,0)</x:f>
        <x:v>0.9355447094688596</x:v>
      </x:c>
    </x:row>
    <x:row r="184">
      <x:c r="A184" s="192" t="str">
        <x:f>'Raw Data'!A184</x:f>
        <x:v>ZOM-0180</x:v>
      </x:c>
      <x:c r="B184" s="193" t="n">
        <x:f>'Raw Data'!B184</x:f>
        <x:v>45837</x:v>
      </x:c>
      <x:c r="C184" s="236" t="str">
        <x:f>'Raw Data'!C184</x:f>
        <x:v>Central</x:v>
      </x:c>
      <x:c r="D184" s="192" t="str">
        <x:f>'Raw Data'!D184</x:f>
        <x:v>Bhopal</x:v>
      </x:c>
      <x:c r="E184" s="192" t="str">
        <x:f>'Raw Data'!E184</x:f>
        <x:v>Beverages</x:v>
      </x:c>
      <x:c r="F184" s="192" t="str">
        <x:f>'Raw Data'!F184</x:f>
        <x:v>New User</x:v>
      </x:c>
      <x:c r="G184" s="192" t="str">
        <x:f>'Raw Data'!G184</x:f>
        <x:v>New User Customer 60</x:v>
      </x:c>
      <x:c r="H184" s="192" t="n">
        <x:f>'Raw Data'!H184</x:f>
        <x:v>77</x:v>
      </x:c>
      <x:c r="I184" s="195" t="n">
        <x:f>'Raw Data'!I184</x:f>
        <x:v>269</x:v>
      </x:c>
      <x:c r="J184" s="196" t="n">
        <x:f>'Raw Data'!J184</x:f>
        <x:v>0.06</x:v>
      </x:c>
      <x:c r="K184" s="195" t="n">
        <x:f>'Raw Data'!K184</x:f>
        <x:v>20713</x:v>
      </x:c>
      <x:c r="L184" s="195" t="n">
        <x:f>'Raw Data'!L184</x:f>
        <x:v>19470.219999999998</x:v>
      </x:c>
      <x:c r="M184" s="195" t="n">
        <x:f>'Raw Data'!M184</x:f>
        <x:v>13239.749599999997</x:v>
      </x:c>
      <x:c r="N184" s="195" t="n">
        <x:f>'Raw Data'!N184</x:f>
        <x:v>6230.4704</x:v>
      </x:c>
      <x:c r="O184" s="195" t="n">
        <x:f>'Raw Data'!O184</x:f>
        <x:v>2531.1285999999996</x:v>
      </x:c>
      <x:c r="P184" s="195" t="n">
        <x:f>'Raw Data'!P184</x:f>
        <x:v>3699.3418000000006</x:v>
      </x:c>
      <x:c r="Q184" s="195" t="n">
        <x:f>'Raw Data'!Q184</x:f>
        <x:v>20627.648015837443</x:v>
      </x:c>
      <x:c r="R184" s="196" t="n">
        <x:f t="shared" si="6">IFERROR(N184/L184,0)</x:f>
        <x:v>0.32000000000000006</x:v>
      </x:c>
      <x:c r="S184" s="196" t="n">
        <x:f t="shared" si="7">IFERROR(P184/L184,0)</x:f>
        <x:v>0.19000000000000006</x:v>
      </x:c>
      <x:c r="T184" s="196" t="n">
        <x:f t="shared" si="8">IFERROR(L184/Q184,0)</x:f>
        <x:v>0.9438894819734757</x:v>
      </x:c>
    </x:row>
    <x:row r="185">
      <x:c r="A185" s="192" t="str">
        <x:f>'Raw Data'!A185</x:f>
        <x:v>ZOM-0181</x:v>
      </x:c>
      <x:c r="B185" s="193" t="n">
        <x:f>'Raw Data'!B185</x:f>
        <x:v>45838</x:v>
      </x:c>
      <x:c r="C185" s="236" t="str">
        <x:f>'Raw Data'!C185</x:f>
        <x:v>Central</x:v>
      </x:c>
      <x:c r="D185" s="192" t="str">
        <x:f>'Raw Data'!D185</x:f>
        <x:v>Raipur</x:v>
      </x:c>
      <x:c r="E185" s="192" t="str">
        <x:f>'Raw Data'!E185</x:f>
        <x:v>Beverages</x:v>
      </x:c>
      <x:c r="F185" s="192" t="str">
        <x:f>'Raw Data'!F185</x:f>
        <x:v>New User</x:v>
      </x:c>
      <x:c r="G185" s="192" t="str">
        <x:f>'Raw Data'!G185</x:f>
        <x:v>New User Customer 32</x:v>
      </x:c>
      <x:c r="H185" s="192" t="n">
        <x:f>'Raw Data'!H185</x:f>
        <x:v>119</x:v>
      </x:c>
      <x:c r="I185" s="195" t="n">
        <x:f>'Raw Data'!I185</x:f>
        <x:v>237</x:v>
      </x:c>
      <x:c r="J185" s="196" t="n">
        <x:f>'Raw Data'!J185</x:f>
        <x:v>0.08</x:v>
      </x:c>
      <x:c r="K185" s="195" t="n">
        <x:f>'Raw Data'!K185</x:f>
        <x:v>28203</x:v>
      </x:c>
      <x:c r="L185" s="195" t="n">
        <x:f>'Raw Data'!L185</x:f>
        <x:v>25946.760000000002</x:v>
      </x:c>
      <x:c r="M185" s="195" t="n">
        <x:f>'Raw Data'!M185</x:f>
        <x:v>17643.7968</x:v>
      </x:c>
      <x:c r="N185" s="195" t="n">
        <x:f>'Raw Data'!N185</x:f>
        <x:v>8302.963200000002</x:v>
      </x:c>
      <x:c r="O185" s="195" t="n">
        <x:f>'Raw Data'!O185</x:f>
        <x:v>3373.0788000000002</x:v>
      </x:c>
      <x:c r="P185" s="195" t="n">
        <x:f>'Raw Data'!P185</x:f>
        <x:v>4929.884400000002</x:v>
      </x:c>
      <x:c r="Q185" s="195" t="n">
        <x:f>'Raw Data'!Q185</x:f>
        <x:v>27638.38647056842</x:v>
      </x:c>
      <x:c r="R185" s="196" t="n">
        <x:f t="shared" si="6">IFERROR(N185/L185,0)</x:f>
        <x:v>0.32000000000000006</x:v>
      </x:c>
      <x:c r="S185" s="196" t="n">
        <x:f t="shared" si="7">IFERROR(P185/L185,0)</x:f>
        <x:v>0.19000000000000006</x:v>
      </x:c>
      <x:c r="T185" s="196" t="n">
        <x:f t="shared" si="8">IFERROR(L185/Q185,0)</x:f>
        <x:v>0.9387943115865393</x:v>
      </x:c>
    </x:row>
    <x:row r="186">
      <x:c r="A186" s="192" t="str">
        <x:f>'Raw Data'!A186</x:f>
        <x:v>ZOM-0182</x:v>
      </x:c>
      <x:c r="B186" s="193" t="n">
        <x:f>'Raw Data'!B186</x:f>
        <x:v>45839</x:v>
      </x:c>
      <x:c r="C186" s="236" t="str">
        <x:f>'Raw Data'!C186</x:f>
        <x:v>Metro</x:v>
      </x:c>
      <x:c r="D186" s="192" t="str">
        <x:f>'Raw Data'!D186</x:f>
        <x:v>Mumbai</x:v>
      </x:c>
      <x:c r="E186" s="192" t="str">
        <x:f>'Raw Data'!E186</x:f>
        <x:v>Healthy</x:v>
      </x:c>
      <x:c r="F186" s="192" t="str">
        <x:f>'Raw Data'!F186</x:f>
        <x:v>Gold User</x:v>
      </x:c>
      <x:c r="G186" s="192" t="str">
        <x:f>'Raw Data'!G186</x:f>
        <x:v>Gold User Customer 12</x:v>
      </x:c>
      <x:c r="H186" s="192" t="n">
        <x:f>'Raw Data'!H186</x:f>
        <x:v>126</x:v>
      </x:c>
      <x:c r="I186" s="195" t="n">
        <x:f>'Raw Data'!I186</x:f>
        <x:v>455</x:v>
      </x:c>
      <x:c r="J186" s="196" t="n">
        <x:f>'Raw Data'!J186</x:f>
        <x:v>0.03</x:v>
      </x:c>
      <x:c r="K186" s="195" t="n">
        <x:f>'Raw Data'!K186</x:f>
        <x:v>57330</x:v>
      </x:c>
      <x:c r="L186" s="195" t="n">
        <x:f>'Raw Data'!L186</x:f>
        <x:v>55610.1</x:v>
      </x:c>
      <x:c r="M186" s="195" t="n">
        <x:f>'Raw Data'!M186</x:f>
        <x:v>38927.07</x:v>
      </x:c>
      <x:c r="N186" s="195" t="n">
        <x:f>'Raw Data'!N186</x:f>
        <x:v>16683.03</x:v>
      </x:c>
      <x:c r="O186" s="195" t="n">
        <x:f>'Raw Data'!O186</x:f>
        <x:v>7229.313</x:v>
      </x:c>
      <x:c r="P186" s="195" t="n">
        <x:f>'Raw Data'!P186</x:f>
        <x:v>9453.716999999999</x:v>
      </x:c>
      <x:c r="Q186" s="195" t="n">
        <x:f>'Raw Data'!Q186</x:f>
        <x:v>57326.88308592619</x:v>
      </x:c>
      <x:c r="R186" s="196" t="n">
        <x:f t="shared" si="6">IFERROR(N186/L186,0)</x:f>
        <x:v>0.3</x:v>
      </x:c>
      <x:c r="S186" s="196" t="n">
        <x:f t="shared" si="7">IFERROR(P186/L186,0)</x:f>
        <x:v>0.16999999999999998</x:v>
      </x:c>
      <x:c r="T186" s="196" t="n">
        <x:f t="shared" si="8">IFERROR(L186/Q186,0)</x:f>
        <x:v>0.9700527397703982</x:v>
      </x:c>
    </x:row>
    <x:row r="187">
      <x:c r="A187" s="192" t="str">
        <x:f>'Raw Data'!A187</x:f>
        <x:v>ZOM-0183</x:v>
      </x:c>
      <x:c r="B187" s="193" t="n">
        <x:f>'Raw Data'!B187</x:f>
        <x:v>45840</x:v>
      </x:c>
      <x:c r="C187" s="236" t="str">
        <x:f>'Raw Data'!C187</x:f>
        <x:v>North</x:v>
      </x:c>
      <x:c r="D187" s="192" t="str">
        <x:f>'Raw Data'!D187</x:f>
        <x:v>Gurugram</x:v>
      </x:c>
      <x:c r="E187" s="192" t="str">
        <x:f>'Raw Data'!E187</x:f>
        <x:v>Healthy</x:v>
      </x:c>
      <x:c r="F187" s="192" t="str">
        <x:f>'Raw Data'!F187</x:f>
        <x:v>Corporate</x:v>
      </x:c>
      <x:c r="G187" s="192" t="str">
        <x:f>'Raw Data'!G187</x:f>
        <x:v>Corporate Customer 43</x:v>
      </x:c>
      <x:c r="H187" s="192" t="n">
        <x:f>'Raw Data'!H187</x:f>
        <x:v>115</x:v>
      </x:c>
      <x:c r="I187" s="195" t="n">
        <x:f>'Raw Data'!I187</x:f>
        <x:v>349</x:v>
      </x:c>
      <x:c r="J187" s="196" t="n">
        <x:f>'Raw Data'!J187</x:f>
        <x:v>0.03</x:v>
      </x:c>
      <x:c r="K187" s="195" t="n">
        <x:f>'Raw Data'!K187</x:f>
        <x:v>40135</x:v>
      </x:c>
      <x:c r="L187" s="195" t="n">
        <x:f>'Raw Data'!L187</x:f>
        <x:v>38930.95</x:v>
      </x:c>
      <x:c r="M187" s="195" t="n">
        <x:f>'Raw Data'!M187</x:f>
        <x:v>27251.664999999997</x:v>
      </x:c>
      <x:c r="N187" s="195" t="n">
        <x:f>'Raw Data'!N187</x:f>
        <x:v>11679.285</x:v>
      </x:c>
      <x:c r="O187" s="195" t="n">
        <x:f>'Raw Data'!O187</x:f>
        <x:v>5061.0235</x:v>
      </x:c>
      <x:c r="P187" s="195" t="n">
        <x:f>'Raw Data'!P187</x:f>
        <x:v>6618.2615</x:v>
      </x:c>
      <x:c r="Q187" s="195" t="n">
        <x:f>'Raw Data'!Q187</x:f>
        <x:v>39336.164053729335</x:v>
      </x:c>
      <x:c r="R187" s="196" t="n">
        <x:f t="shared" si="6">IFERROR(N187/L187,0)</x:f>
        <x:v>0.30000000000000004</x:v>
      </x:c>
      <x:c r="S187" s="196" t="n">
        <x:f t="shared" si="7">IFERROR(P187/L187,0)</x:f>
        <x:v>0.17</x:v>
      </x:c>
      <x:c r="T187" s="196" t="n">
        <x:f t="shared" si="8">IFERROR(L187/Q187,0)</x:f>
        <x:v>0.9896986891457984</x:v>
      </x:c>
    </x:row>
    <x:row r="188">
      <x:c r="A188" s="192" t="str">
        <x:f>'Raw Data'!A188</x:f>
        <x:v>ZOM-0184</x:v>
      </x:c>
      <x:c r="B188" s="193" t="n">
        <x:f>'Raw Data'!B188</x:f>
        <x:v>45841</x:v>
      </x:c>
      <x:c r="C188" s="236" t="str">
        <x:f>'Raw Data'!C188</x:f>
        <x:v>North</x:v>
      </x:c>
      <x:c r="D188" s="192" t="str">
        <x:f>'Raw Data'!D188</x:f>
        <x:v>Noida</x:v>
      </x:c>
      <x:c r="E188" s="192" t="str">
        <x:f>'Raw Data'!E188</x:f>
        <x:v>South Indian</x:v>
      </x:c>
      <x:c r="F188" s="192" t="str">
        <x:f>'Raw Data'!F188</x:f>
        <x:v>Student</x:v>
      </x:c>
      <x:c r="G188" s="192" t="str">
        <x:f>'Raw Data'!G188</x:f>
        <x:v>Student Customer 38</x:v>
      </x:c>
      <x:c r="H188" s="192" t="n">
        <x:f>'Raw Data'!H188</x:f>
        <x:v>57</x:v>
      </x:c>
      <x:c r="I188" s="195" t="n">
        <x:f>'Raw Data'!I188</x:f>
        <x:v>336</x:v>
      </x:c>
      <x:c r="J188" s="196" t="n">
        <x:f>'Raw Data'!J188</x:f>
        <x:v>0.12</x:v>
      </x:c>
      <x:c r="K188" s="195" t="n">
        <x:f>'Raw Data'!K188</x:f>
        <x:v>19152</x:v>
      </x:c>
      <x:c r="L188" s="195" t="n">
        <x:f>'Raw Data'!L188</x:f>
        <x:v>16853.76</x:v>
      </x:c>
      <x:c r="M188" s="195" t="n">
        <x:f>'Raw Data'!M188</x:f>
        <x:v>12471.782399999998</x:v>
      </x:c>
      <x:c r="N188" s="195" t="n">
        <x:f>'Raw Data'!N188</x:f>
        <x:v>4381.9776</x:v>
      </x:c>
      <x:c r="O188" s="195" t="n">
        <x:f>'Raw Data'!O188</x:f>
        <x:v>2190.9888</x:v>
      </x:c>
      <x:c r="P188" s="195" t="n">
        <x:f>'Raw Data'!P188</x:f>
        <x:v>2190.9888</x:v>
      </x:c>
      <x:c r="Q188" s="195" t="n">
        <x:f>'Raw Data'!Q188</x:f>
        <x:v>17520.411090235197</x:v>
      </x:c>
      <x:c r="R188" s="196" t="n">
        <x:f t="shared" si="6">IFERROR(N188/L188,0)</x:f>
        <x:v>0.26</x:v>
      </x:c>
      <x:c r="S188" s="196" t="n">
        <x:f t="shared" si="7">IFERROR(P188/L188,0)</x:f>
        <x:v>0.13</x:v>
      </x:c>
      <x:c r="T188" s="196" t="n">
        <x:f t="shared" si="8">IFERROR(L188/Q188,0)</x:f>
        <x:v>0.9619500314917412</x:v>
      </x:c>
    </x:row>
    <x:row r="189">
      <x:c r="A189" s="192" t="str">
        <x:f>'Raw Data'!A189</x:f>
        <x:v>ZOM-0185</x:v>
      </x:c>
      <x:c r="B189" s="193" t="n">
        <x:f>'Raw Data'!B189</x:f>
        <x:v>45842</x:v>
      </x:c>
      <x:c r="C189" s="236" t="str">
        <x:f>'Raw Data'!C189</x:f>
        <x:v>East</x:v>
      </x:c>
      <x:c r="D189" s="192" t="str">
        <x:f>'Raw Data'!D189</x:f>
        <x:v>Kolkata</x:v>
      </x:c>
      <x:c r="E189" s="192" t="str">
        <x:f>'Raw Data'!E189</x:f>
        <x:v>Biryani</x:v>
      </x:c>
      <x:c r="F189" s="192" t="str">
        <x:f>'Raw Data'!F189</x:f>
        <x:v>Repeat User</x:v>
      </x:c>
      <x:c r="G189" s="192" t="str">
        <x:f>'Raw Data'!G189</x:f>
        <x:v>Repeat User Customer 60</x:v>
      </x:c>
      <x:c r="H189" s="192" t="n">
        <x:f>'Raw Data'!H189</x:f>
        <x:v>96</x:v>
      </x:c>
      <x:c r="I189" s="195" t="n">
        <x:f>'Raw Data'!I189</x:f>
        <x:v>389</x:v>
      </x:c>
      <x:c r="J189" s="196" t="n">
        <x:f>'Raw Data'!J189</x:f>
        <x:v>0.030000000000000002</x:v>
      </x:c>
      <x:c r="K189" s="195" t="n">
        <x:f>'Raw Data'!K189</x:f>
        <x:v>37344</x:v>
      </x:c>
      <x:c r="L189" s="195" t="n">
        <x:f>'Raw Data'!L189</x:f>
        <x:v>36223.68</x:v>
      </x:c>
      <x:c r="M189" s="195" t="n">
        <x:f>'Raw Data'!M189</x:f>
        <x:v>26805.5232</x:v>
      </x:c>
      <x:c r="N189" s="195" t="n">
        <x:f>'Raw Data'!N189</x:f>
        <x:v>9418.1568</x:v>
      </x:c>
      <x:c r="O189" s="195" t="n">
        <x:f>'Raw Data'!O189</x:f>
        <x:v>4709.0784</x:v>
      </x:c>
      <x:c r="P189" s="195" t="n">
        <x:f>'Raw Data'!P189</x:f>
        <x:v>4709.0784</x:v>
      </x:c>
      <x:c r="Q189" s="195" t="n">
        <x:f>'Raw Data'!Q189</x:f>
        <x:v>39205.933351605265</x:v>
      </x:c>
      <x:c r="R189" s="196" t="n">
        <x:f t="shared" si="6">IFERROR(N189/L189,0)</x:f>
        <x:v>0.26</x:v>
      </x:c>
      <x:c r="S189" s="196" t="n">
        <x:f t="shared" si="7">IFERROR(P189/L189,0)</x:f>
        <x:v>0.13</x:v>
      </x:c>
      <x:c r="T189" s="196" t="n">
        <x:f t="shared" si="8">IFERROR(L189/Q189,0)</x:f>
        <x:v>0.9239336218612646</x:v>
      </x:c>
    </x:row>
    <x:row r="190">
      <x:c r="A190" s="192" t="str">
        <x:f>'Raw Data'!A190</x:f>
        <x:v>ZOM-0186</x:v>
      </x:c>
      <x:c r="B190" s="193" t="n">
        <x:f>'Raw Data'!B190</x:f>
        <x:v>45843</x:v>
      </x:c>
      <x:c r="C190" s="236" t="str">
        <x:f>'Raw Data'!C190</x:f>
        <x:v>Metro</x:v>
      </x:c>
      <x:c r="D190" s="192" t="str">
        <x:f>'Raw Data'!D190</x:f>
        <x:v>Bengaluru</x:v>
      </x:c>
      <x:c r="E190" s="192" t="str">
        <x:f>'Raw Data'!E190</x:f>
        <x:v>Burgers</x:v>
      </x:c>
      <x:c r="F190" s="192" t="str">
        <x:f>'Raw Data'!F190</x:f>
        <x:v>Corporate</x:v>
      </x:c>
      <x:c r="G190" s="192" t="str">
        <x:f>'Raw Data'!G190</x:f>
        <x:v>Corporate Customer 48</x:v>
      </x:c>
      <x:c r="H190" s="192" t="n">
        <x:f>'Raw Data'!H190</x:f>
        <x:v>149</x:v>
      </x:c>
      <x:c r="I190" s="195" t="n">
        <x:f>'Raw Data'!I190</x:f>
        <x:v>401</x:v>
      </x:c>
      <x:c r="J190" s="196" t="n">
        <x:f>'Raw Data'!J190</x:f>
        <x:v>0.02</x:v>
      </x:c>
      <x:c r="K190" s="195" t="n">
        <x:f>'Raw Data'!K190</x:f>
        <x:v>59749</x:v>
      </x:c>
      <x:c r="L190" s="195" t="n">
        <x:f>'Raw Data'!L190</x:f>
        <x:v>58554.02</x:v>
      </x:c>
      <x:c r="M190" s="195" t="n">
        <x:f>'Raw Data'!M190</x:f>
        <x:v>43329.974799999996</x:v>
      </x:c>
      <x:c r="N190" s="195" t="n">
        <x:f>'Raw Data'!N190</x:f>
        <x:v>15224.0452</x:v>
      </x:c>
      <x:c r="O190" s="195" t="n">
        <x:f>'Raw Data'!O190</x:f>
        <x:v>7612.0226</x:v>
      </x:c>
      <x:c r="P190" s="195" t="n">
        <x:f>'Raw Data'!P190</x:f>
        <x:v>7612.0226</x:v>
      </x:c>
      <x:c r="Q190" s="195" t="n">
        <x:f>'Raw Data'!Q190</x:f>
        <x:v>59630.375674222574</x:v>
      </x:c>
      <x:c r="R190" s="196" t="n">
        <x:f t="shared" si="6">IFERROR(N190/L190,0)</x:f>
        <x:v>0.26</x:v>
      </x:c>
      <x:c r="S190" s="196" t="n">
        <x:f t="shared" si="7">IFERROR(P190/L190,0)</x:f>
        <x:v>0.13</x:v>
      </x:c>
      <x:c r="T190" s="196" t="n">
        <x:f t="shared" si="8">IFERROR(L190/Q190,0)</x:f>
        <x:v>0.9819495406149542</x:v>
      </x:c>
    </x:row>
    <x:row r="191">
      <x:c r="A191" s="192" t="str">
        <x:f>'Raw Data'!A191</x:f>
        <x:v>ZOM-0187</x:v>
      </x:c>
      <x:c r="B191" s="193" t="n">
        <x:f>'Raw Data'!B191</x:f>
        <x:v>45844</x:v>
      </x:c>
      <x:c r="C191" s="236" t="str">
        <x:f>'Raw Data'!C191</x:f>
        <x:v>Metro</x:v>
      </x:c>
      <x:c r="D191" s="192" t="str">
        <x:f>'Raw Data'!D191</x:f>
        <x:v>Bengaluru</x:v>
      </x:c>
      <x:c r="E191" s="192" t="str">
        <x:f>'Raw Data'!E191</x:f>
        <x:v>South Indian</x:v>
      </x:c>
      <x:c r="F191" s="192" t="str">
        <x:f>'Raw Data'!F191</x:f>
        <x:v>Gold User</x:v>
      </x:c>
      <x:c r="G191" s="192" t="str">
        <x:f>'Raw Data'!G191</x:f>
        <x:v>Gold User Customer 51</x:v>
      </x:c>
      <x:c r="H191" s="192" t="n">
        <x:f>'Raw Data'!H191</x:f>
        <x:v>175</x:v>
      </x:c>
      <x:c r="I191" s="195" t="n">
        <x:f>'Raw Data'!I191</x:f>
        <x:v>412</x:v>
      </x:c>
      <x:c r="J191" s="196" t="n">
        <x:f>'Raw Data'!J191</x:f>
        <x:v>0.03</x:v>
      </x:c>
      <x:c r="K191" s="195" t="n">
        <x:f>'Raw Data'!K191</x:f>
        <x:v>72100</x:v>
      </x:c>
      <x:c r="L191" s="195" t="n">
        <x:f>'Raw Data'!L191</x:f>
        <x:v>69937</x:v>
      </x:c>
      <x:c r="M191" s="195" t="n">
        <x:f>'Raw Data'!M191</x:f>
        <x:v>51753.38</x:v>
      </x:c>
      <x:c r="N191" s="195" t="n">
        <x:f>'Raw Data'!N191</x:f>
        <x:v>18183.620000000003</x:v>
      </x:c>
      <x:c r="O191" s="195" t="n">
        <x:f>'Raw Data'!O191</x:f>
        <x:v>9091.81</x:v>
      </x:c>
      <x:c r="P191" s="195" t="n">
        <x:f>'Raw Data'!P191</x:f>
        <x:v>9091.810000000003</x:v>
      </x:c>
      <x:c r="Q191" s="195" t="n">
        <x:f>'Raw Data'!Q191</x:f>
        <x:v>74937.33715310285</x:v>
      </x:c>
      <x:c r="R191" s="196" t="n">
        <x:f t="shared" si="6">IFERROR(N191/L191,0)</x:f>
        <x:v>0.26000000000000006</x:v>
      </x:c>
      <x:c r="S191" s="196" t="n">
        <x:f t="shared" si="7">IFERROR(P191/L191,0)</x:f>
        <x:v>0.13000000000000003</x:v>
      </x:c>
      <x:c r="T191" s="196" t="n">
        <x:f t="shared" si="8">IFERROR(L191/Q191,0)</x:f>
        <x:v>0.9332730873144481</x:v>
      </x:c>
    </x:row>
    <x:row r="192">
      <x:c r="A192" s="192" t="str">
        <x:f>'Raw Data'!A192</x:f>
        <x:v>ZOM-0188</x:v>
      </x:c>
      <x:c r="B192" s="193" t="n">
        <x:f>'Raw Data'!B192</x:f>
        <x:v>45845</x:v>
      </x:c>
      <x:c r="C192" s="236" t="str">
        <x:f>'Raw Data'!C192</x:f>
        <x:v>North</x:v>
      </x:c>
      <x:c r="D192" s="192" t="str">
        <x:f>'Raw Data'!D192</x:f>
        <x:v>Jaipur</x:v>
      </x:c>
      <x:c r="E192" s="192" t="str">
        <x:f>'Raw Data'!E192</x:f>
        <x:v>Chinese</x:v>
      </x:c>
      <x:c r="F192" s="192" t="str">
        <x:f>'Raw Data'!F192</x:f>
        <x:v>Repeat User</x:v>
      </x:c>
      <x:c r="G192" s="192" t="str">
        <x:f>'Raw Data'!G192</x:f>
        <x:v>Repeat User Customer 34</x:v>
      </x:c>
      <x:c r="H192" s="192" t="n">
        <x:f>'Raw Data'!H192</x:f>
        <x:v>151</x:v>
      </x:c>
      <x:c r="I192" s="195" t="n">
        <x:f>'Raw Data'!I192</x:f>
        <x:v>382</x:v>
      </x:c>
      <x:c r="J192" s="196" t="n">
        <x:f>'Raw Data'!J192</x:f>
        <x:v>0.05</x:v>
      </x:c>
      <x:c r="K192" s="195" t="n">
        <x:f>'Raw Data'!K192</x:f>
        <x:v>57682</x:v>
      </x:c>
      <x:c r="L192" s="195" t="n">
        <x:f>'Raw Data'!L192</x:f>
        <x:v>54797.899999999994</x:v>
      </x:c>
      <x:c r="M192" s="195" t="n">
        <x:f>'Raw Data'!M192</x:f>
        <x:v>40550.445999999996</x:v>
      </x:c>
      <x:c r="N192" s="195" t="n">
        <x:f>'Raw Data'!N192</x:f>
        <x:v>14247.453999999998</x:v>
      </x:c>
      <x:c r="O192" s="195" t="n">
        <x:f>'Raw Data'!O192</x:f>
        <x:v>7123.727</x:v>
      </x:c>
      <x:c r="P192" s="195" t="n">
        <x:f>'Raw Data'!P192</x:f>
        <x:v>7123.726999999998</x:v>
      </x:c>
      <x:c r="Q192" s="195" t="n">
        <x:f>'Raw Data'!Q192</x:f>
        <x:v>56955.51890014804</x:v>
      </x:c>
      <x:c r="R192" s="196" t="n">
        <x:f t="shared" si="6">IFERROR(N192/L192,0)</x:f>
        <x:v>0.26</x:v>
      </x:c>
      <x:c r="S192" s="196" t="n">
        <x:f t="shared" si="7">IFERROR(P192/L192,0)</x:f>
        <x:v>0.12999999999999998</x:v>
      </x:c>
      <x:c r="T192" s="196" t="n">
        <x:f t="shared" si="8">IFERROR(L192/Q192,0)</x:f>
        <x:v>0.9621174744464941</x:v>
      </x:c>
    </x:row>
    <x:row r="193">
      <x:c r="A193" s="192" t="str">
        <x:f>'Raw Data'!A193</x:f>
        <x:v>ZOM-0189</x:v>
      </x:c>
      <x:c r="B193" s="193" t="n">
        <x:f>'Raw Data'!B193</x:f>
        <x:v>45846</x:v>
      </x:c>
      <x:c r="C193" s="236" t="str">
        <x:f>'Raw Data'!C193</x:f>
        <x:v>West</x:v>
      </x:c>
      <x:c r="D193" s="192" t="str">
        <x:f>'Raw Data'!D193</x:f>
        <x:v>Pune</x:v>
      </x:c>
      <x:c r="E193" s="192" t="str">
        <x:f>'Raw Data'!E193</x:f>
        <x:v>Desserts</x:v>
      </x:c>
      <x:c r="F193" s="192" t="str">
        <x:f>'Raw Data'!F193</x:f>
        <x:v>Gold User</x:v>
      </x:c>
      <x:c r="G193" s="192" t="str">
        <x:f>'Raw Data'!G193</x:f>
        <x:v>Gold User Customer 04</x:v>
      </x:c>
      <x:c r="H193" s="192" t="n">
        <x:f>'Raw Data'!H193</x:f>
        <x:v>175</x:v>
      </x:c>
      <x:c r="I193" s="195" t="n">
        <x:f>'Raw Data'!I193</x:f>
        <x:v>283</x:v>
      </x:c>
      <x:c r="J193" s="196" t="n">
        <x:f>'Raw Data'!J193</x:f>
        <x:v>0.009999999999999998</x:v>
      </x:c>
      <x:c r="K193" s="195" t="n">
        <x:f>'Raw Data'!K193</x:f>
        <x:v>49525</x:v>
      </x:c>
      <x:c r="L193" s="195" t="n">
        <x:f>'Raw Data'!L193</x:f>
        <x:v>49029.75</x:v>
      </x:c>
      <x:c r="M193" s="195" t="n">
        <x:f>'Raw Data'!M193</x:f>
        <x:v>33830.5275</x:v>
      </x:c>
      <x:c r="N193" s="195" t="n">
        <x:f>'Raw Data'!N193</x:f>
        <x:v>15199.222500000003</x:v>
      </x:c>
      <x:c r="O193" s="195" t="n">
        <x:f>'Raw Data'!O193</x:f>
        <x:v>6373.8675</x:v>
      </x:c>
      <x:c r="P193" s="195" t="n">
        <x:f>'Raw Data'!P193</x:f>
        <x:v>8825.355000000003</x:v>
      </x:c>
      <x:c r="Q193" s="195" t="n">
        <x:f>'Raw Data'!Q193</x:f>
        <x:v>51717.35580774413</x:v>
      </x:c>
      <x:c r="R193" s="196" t="n">
        <x:f t="shared" si="6">IFERROR(N193/L193,0)</x:f>
        <x:v>0.31000000000000005</x:v>
      </x:c>
      <x:c r="S193" s="196" t="n">
        <x:f t="shared" si="7">IFERROR(P193/L193,0)</x:f>
        <x:v>0.18000000000000008</x:v>
      </x:c>
      <x:c r="T193" s="196" t="n">
        <x:f t="shared" si="8">IFERROR(L193/Q193,0)</x:f>
        <x:v>0.9480328070573615</x:v>
      </x:c>
    </x:row>
    <x:row r="194">
      <x:c r="A194" s="192" t="str">
        <x:f>'Raw Data'!A194</x:f>
        <x:v>ZOM-0190</x:v>
      </x:c>
      <x:c r="B194" s="193" t="n">
        <x:f>'Raw Data'!B194</x:f>
        <x:v>45847</x:v>
      </x:c>
      <x:c r="C194" s="236" t="str">
        <x:f>'Raw Data'!C194</x:f>
        <x:v>West</x:v>
      </x:c>
      <x:c r="D194" s="192" t="str">
        <x:f>'Raw Data'!D194</x:f>
        <x:v>Ahmedabad</x:v>
      </x:c>
      <x:c r="E194" s="192" t="str">
        <x:f>'Raw Data'!E194</x:f>
        <x:v>Desserts</x:v>
      </x:c>
      <x:c r="F194" s="192" t="str">
        <x:f>'Raw Data'!F194</x:f>
        <x:v>Repeat User</x:v>
      </x:c>
      <x:c r="G194" s="192" t="str">
        <x:f>'Raw Data'!G194</x:f>
        <x:v>Repeat User Customer 04</x:v>
      </x:c>
      <x:c r="H194" s="192" t="n">
        <x:f>'Raw Data'!H194</x:f>
        <x:v>82</x:v>
      </x:c>
      <x:c r="I194" s="195" t="n">
        <x:f>'Raw Data'!I194</x:f>
        <x:v>319</x:v>
      </x:c>
      <x:c r="J194" s="196" t="n">
        <x:f>'Raw Data'!J194</x:f>
        <x:v>0.030000000000000002</x:v>
      </x:c>
      <x:c r="K194" s="195" t="n">
        <x:f>'Raw Data'!K194</x:f>
        <x:v>26158</x:v>
      </x:c>
      <x:c r="L194" s="195" t="n">
        <x:f>'Raw Data'!L194</x:f>
        <x:v>25373.26</x:v>
      </x:c>
      <x:c r="M194" s="195" t="n">
        <x:f>'Raw Data'!M194</x:f>
        <x:v>17507.549399999996</x:v>
      </x:c>
      <x:c r="N194" s="195" t="n">
        <x:f>'Raw Data'!N194</x:f>
        <x:v>7865.710600000002</x:v>
      </x:c>
      <x:c r="O194" s="195" t="n">
        <x:f>'Raw Data'!O194</x:f>
        <x:v>3298.5238</x:v>
      </x:c>
      <x:c r="P194" s="195" t="n">
        <x:f>'Raw Data'!P194</x:f>
        <x:v>4567.186800000002</x:v>
      </x:c>
      <x:c r="Q194" s="195" t="n">
        <x:f>'Raw Data'!Q194</x:f>
        <x:v>25567.39561931164</x:v>
      </x:c>
      <x:c r="R194" s="196" t="n">
        <x:f t="shared" si="6">IFERROR(N194/L194,0)</x:f>
        <x:v>0.3100000000000001</x:v>
      </x:c>
      <x:c r="S194" s="196" t="n">
        <x:f t="shared" si="7">IFERROR(P194/L194,0)</x:f>
        <x:v>0.1800000000000001</x:v>
      </x:c>
      <x:c r="T194" s="196" t="n">
        <x:f t="shared" si="8">IFERROR(L194/Q194,0)</x:f>
        <x:v>0.9924069067416078</x:v>
      </x:c>
    </x:row>
    <x:row r="195">
      <x:c r="A195" s="192" t="str">
        <x:f>'Raw Data'!A195</x:f>
        <x:v>ZOM-0191</x:v>
      </x:c>
      <x:c r="B195" s="193" t="n">
        <x:f>'Raw Data'!B195</x:f>
        <x:v>45848</x:v>
      </x:c>
      <x:c r="C195" s="236" t="str">
        <x:f>'Raw Data'!C195</x:f>
        <x:v>Metro</x:v>
      </x:c>
      <x:c r="D195" s="192" t="str">
        <x:f>'Raw Data'!D195</x:f>
        <x:v>Delhi</x:v>
      </x:c>
      <x:c r="E195" s="192" t="str">
        <x:f>'Raw Data'!E195</x:f>
        <x:v>Snacks</x:v>
      </x:c>
      <x:c r="F195" s="192" t="str">
        <x:f>'Raw Data'!F195</x:f>
        <x:v>Gold User</x:v>
      </x:c>
      <x:c r="G195" s="192" t="str">
        <x:f>'Raw Data'!G195</x:f>
        <x:v>Gold User Customer 27</x:v>
      </x:c>
      <x:c r="H195" s="192" t="n">
        <x:f>'Raw Data'!H195</x:f>
        <x:v>142</x:v>
      </x:c>
      <x:c r="I195" s="195" t="n">
        <x:f>'Raw Data'!I195</x:f>
        <x:v>239</x:v>
      </x:c>
      <x:c r="J195" s="196" t="n">
        <x:f>'Raw Data'!J195</x:f>
        <x:v>0.03</x:v>
      </x:c>
      <x:c r="K195" s="195" t="n">
        <x:f>'Raw Data'!K195</x:f>
        <x:v>33938</x:v>
      </x:c>
      <x:c r="L195" s="195" t="n">
        <x:f>'Raw Data'!L195</x:f>
        <x:v>32919.86</x:v>
      </x:c>
      <x:c r="M195" s="195" t="n">
        <x:f>'Raw Data'!M195</x:f>
        <x:v>24360.6964</x:v>
      </x:c>
      <x:c r="N195" s="195" t="n">
        <x:f>'Raw Data'!N195</x:f>
        <x:v>8559.1636</x:v>
      </x:c>
      <x:c r="O195" s="195" t="n">
        <x:f>'Raw Data'!O195</x:f>
        <x:v>4279.5818</x:v>
      </x:c>
      <x:c r="P195" s="195" t="n">
        <x:f>'Raw Data'!P195</x:f>
        <x:v>4279.5818</x:v>
      </x:c>
      <x:c r="Q195" s="195" t="n">
        <x:f>'Raw Data'!Q195</x:f>
        <x:v>35471.3367330133</x:v>
      </x:c>
      <x:c r="R195" s="196" t="n">
        <x:f t="shared" si="6">IFERROR(N195/L195,0)</x:f>
        <x:v>0.26</x:v>
      </x:c>
      <x:c r="S195" s="196" t="n">
        <x:f t="shared" si="7">IFERROR(P195/L195,0)</x:f>
        <x:v>0.13</x:v>
      </x:c>
      <x:c r="T195" s="196" t="n">
        <x:f t="shared" si="8">IFERROR(L195/Q195,0)</x:f>
        <x:v>0.9280693380061251</x:v>
      </x:c>
    </x:row>
    <x:row r="196">
      <x:c r="A196" s="192" t="str">
        <x:f>'Raw Data'!A196</x:f>
        <x:v>ZOM-0192</x:v>
      </x:c>
      <x:c r="B196" s="193" t="n">
        <x:f>'Raw Data'!B196</x:f>
        <x:v>45849</x:v>
      </x:c>
      <x:c r="C196" s="236" t="str">
        <x:f>'Raw Data'!C196</x:f>
        <x:v>South</x:v>
      </x:c>
      <x:c r="D196" s="192" t="str">
        <x:f>'Raw Data'!D196</x:f>
        <x:v>Kochi</x:v>
      </x:c>
      <x:c r="E196" s="192" t="str">
        <x:f>'Raw Data'!E196</x:f>
        <x:v>South Indian</x:v>
      </x:c>
      <x:c r="F196" s="192" t="str">
        <x:f>'Raw Data'!F196</x:f>
        <x:v>Student</x:v>
      </x:c>
      <x:c r="G196" s="192" t="str">
        <x:f>'Raw Data'!G196</x:f>
        <x:v>Student Customer 35</x:v>
      </x:c>
      <x:c r="H196" s="192" t="n">
        <x:f>'Raw Data'!H196</x:f>
        <x:v>103</x:v>
      </x:c>
      <x:c r="I196" s="195" t="n">
        <x:f>'Raw Data'!I196</x:f>
        <x:v>353</x:v>
      </x:c>
      <x:c r="J196" s="196" t="n">
        <x:f>'Raw Data'!J196</x:f>
        <x:v>0.12</x:v>
      </x:c>
      <x:c r="K196" s="195" t="n">
        <x:f>'Raw Data'!K196</x:f>
        <x:v>36359</x:v>
      </x:c>
      <x:c r="L196" s="195" t="n">
        <x:f>'Raw Data'!L196</x:f>
        <x:v>31995.920000000002</x:v>
      </x:c>
      <x:c r="M196" s="195" t="n">
        <x:f>'Raw Data'!M196</x:f>
        <x:v>23676.9808</x:v>
      </x:c>
      <x:c r="N196" s="195" t="n">
        <x:f>'Raw Data'!N196</x:f>
        <x:v>8318.9392</x:v>
      </x:c>
      <x:c r="O196" s="195" t="n">
        <x:f>'Raw Data'!O196</x:f>
        <x:v>4159.4696</x:v>
      </x:c>
      <x:c r="P196" s="195" t="n">
        <x:f>'Raw Data'!P196</x:f>
        <x:v>4159.4696</x:v>
      </x:c>
      <x:c r="Q196" s="195" t="n">
        <x:f>'Raw Data'!Q196</x:f>
        <x:v>32681.171354687027</x:v>
      </x:c>
      <x:c r="R196" s="196" t="n">
        <x:f t="shared" si="6">IFERROR(N196/L196,0)</x:f>
        <x:v>0.26</x:v>
      </x:c>
      <x:c r="S196" s="196" t="n">
        <x:f t="shared" si="7">IFERROR(P196/L196,0)</x:f>
        <x:v>0.13</x:v>
      </x:c>
      <x:c r="T196" s="196" t="n">
        <x:f t="shared" si="8">IFERROR(L196/Q196,0)</x:f>
        <x:v>0.9790322278461189</x:v>
      </x:c>
    </x:row>
    <x:row r="197">
      <x:c r="A197" s="192" t="str">
        <x:f>'Raw Data'!A197</x:f>
        <x:v>ZOM-0193</x:v>
      </x:c>
      <x:c r="B197" s="193" t="n">
        <x:f>'Raw Data'!B197</x:f>
        <x:v>45850</x:v>
      </x:c>
      <x:c r="C197" s="236" t="str">
        <x:f>'Raw Data'!C197</x:f>
        <x:v>South</x:v>
      </x:c>
      <x:c r="D197" s="192" t="str">
        <x:f>'Raw Data'!D197</x:f>
        <x:v>Hyderabad</x:v>
      </x:c>
      <x:c r="E197" s="192" t="str">
        <x:f>'Raw Data'!E197</x:f>
        <x:v>Desserts</x:v>
      </x:c>
      <x:c r="F197" s="192" t="str">
        <x:f>'Raw Data'!F197</x:f>
        <x:v>Repeat User</x:v>
      </x:c>
      <x:c r="G197" s="192" t="str">
        <x:f>'Raw Data'!G197</x:f>
        <x:v>Repeat User Customer 25</x:v>
      </x:c>
      <x:c r="H197" s="192" t="n">
        <x:f>'Raw Data'!H197</x:f>
        <x:v>79</x:v>
      </x:c>
      <x:c r="I197" s="195" t="n">
        <x:f>'Raw Data'!I197</x:f>
        <x:v>321</x:v>
      </x:c>
      <x:c r="J197" s="196" t="n">
        <x:f>'Raw Data'!J197</x:f>
        <x:v>0.05</x:v>
      </x:c>
      <x:c r="K197" s="195" t="n">
        <x:f>'Raw Data'!K197</x:f>
        <x:v>25359</x:v>
      </x:c>
      <x:c r="L197" s="195" t="n">
        <x:f>'Raw Data'!L197</x:f>
        <x:v>24091.05</x:v>
      </x:c>
      <x:c r="M197" s="195" t="n">
        <x:f>'Raw Data'!M197</x:f>
        <x:v>16622.8245</x:v>
      </x:c>
      <x:c r="N197" s="195" t="n">
        <x:f>'Raw Data'!N197</x:f>
        <x:v>7468.2255000000005</x:v>
      </x:c>
      <x:c r="O197" s="195" t="n">
        <x:f>'Raw Data'!O197</x:f>
        <x:v>3131.8365</x:v>
      </x:c>
      <x:c r="P197" s="195" t="n">
        <x:f>'Raw Data'!P197</x:f>
        <x:v>4336.389000000001</x:v>
      </x:c>
      <x:c r="Q197" s="195" t="n">
        <x:f>'Raw Data'!Q197</x:f>
        <x:v>25317.172748485063</x:v>
      </x:c>
      <x:c r="R197" s="196" t="n">
        <x:f t="shared" ref="R197:R260" si="9">IFERROR(N197/L197,0)</x:f>
        <x:v>0.31000000000000005</x:v>
      </x:c>
      <x:c r="S197" s="196" t="n">
        <x:f t="shared" ref="S197:S260" si="10">IFERROR(P197/L197,0)</x:f>
        <x:v>0.18000000000000005</x:v>
      </x:c>
      <x:c r="T197" s="196" t="n">
        <x:f t="shared" ref="T197:T260" si="11">IFERROR(L197/Q197,0)</x:f>
        <x:v>0.9515695231586065</x:v>
      </x:c>
    </x:row>
    <x:row r="198">
      <x:c r="A198" s="192" t="str">
        <x:f>'Raw Data'!A198</x:f>
        <x:v>ZOM-0194</x:v>
      </x:c>
      <x:c r="B198" s="193" t="n">
        <x:f>'Raw Data'!B198</x:f>
        <x:v>45851</x:v>
      </x:c>
      <x:c r="C198" s="236" t="str">
        <x:f>'Raw Data'!C198</x:f>
        <x:v>Central</x:v>
      </x:c>
      <x:c r="D198" s="192" t="str">
        <x:f>'Raw Data'!D198</x:f>
        <x:v>Indore</x:v>
      </x:c>
      <x:c r="E198" s="192" t="str">
        <x:f>'Raw Data'!E198</x:f>
        <x:v>South Indian</x:v>
      </x:c>
      <x:c r="F198" s="192" t="str">
        <x:f>'Raw Data'!F198</x:f>
        <x:v>New User</x:v>
      </x:c>
      <x:c r="G198" s="192" t="str">
        <x:f>'Raw Data'!G198</x:f>
        <x:v>New User Customer 60</x:v>
      </x:c>
      <x:c r="H198" s="192" t="n">
        <x:f>'Raw Data'!H198</x:f>
        <x:v>81</x:v>
      </x:c>
      <x:c r="I198" s="195" t="n">
        <x:f>'Raw Data'!I198</x:f>
        <x:v>440</x:v>
      </x:c>
      <x:c r="J198" s="196" t="n">
        <x:f>'Raw Data'!J198</x:f>
        <x:v>0.06</x:v>
      </x:c>
      <x:c r="K198" s="195" t="n">
        <x:f>'Raw Data'!K198</x:f>
        <x:v>35640</x:v>
      </x:c>
      <x:c r="L198" s="195" t="n">
        <x:f>'Raw Data'!L198</x:f>
        <x:v>33501.6</x:v>
      </x:c>
      <x:c r="M198" s="195" t="n">
        <x:f>'Raw Data'!M198</x:f>
        <x:v>24791.183999999997</x:v>
      </x:c>
      <x:c r="N198" s="195" t="n">
        <x:f>'Raw Data'!N198</x:f>
        <x:v>8710.416000000001</x:v>
      </x:c>
      <x:c r="O198" s="195" t="n">
        <x:f>'Raw Data'!O198</x:f>
        <x:v>4355.208</x:v>
      </x:c>
      <x:c r="P198" s="195" t="n">
        <x:f>'Raw Data'!P198</x:f>
        <x:v>4355.208000000001</x:v>
      </x:c>
      <x:c r="Q198" s="195" t="n">
        <x:f>'Raw Data'!Q198</x:f>
        <x:v>35973.70935823562</x:v>
      </x:c>
      <x:c r="R198" s="196" t="n">
        <x:f t="shared" si="9">IFERROR(N198/L198,0)</x:f>
        <x:v>0.26000000000000006</x:v>
      </x:c>
      <x:c r="S198" s="196" t="n">
        <x:f t="shared" si="10">IFERROR(P198/L198,0)</x:f>
        <x:v>0.13000000000000006</x:v>
      </x:c>
      <x:c r="T198" s="196" t="n">
        <x:f t="shared" si="11">IFERROR(L198/Q198,0)</x:f>
        <x:v>0.9312801097707855</x:v>
      </x:c>
    </x:row>
    <x:row r="199">
      <x:c r="A199" s="192" t="str">
        <x:f>'Raw Data'!A199</x:f>
        <x:v>ZOM-0195</x:v>
      </x:c>
      <x:c r="B199" s="193" t="n">
        <x:f>'Raw Data'!B199</x:f>
        <x:v>45852</x:v>
      </x:c>
      <x:c r="C199" s="236" t="str">
        <x:f>'Raw Data'!C199</x:f>
        <x:v>Metro</x:v>
      </x:c>
      <x:c r="D199" s="192" t="str">
        <x:f>'Raw Data'!D199</x:f>
        <x:v>Delhi</x:v>
      </x:c>
      <x:c r="E199" s="192" t="str">
        <x:f>'Raw Data'!E199</x:f>
        <x:v>Biryani</x:v>
      </x:c>
      <x:c r="F199" s="192" t="str">
        <x:f>'Raw Data'!F199</x:f>
        <x:v>New User</x:v>
      </x:c>
      <x:c r="G199" s="192" t="str">
        <x:f>'Raw Data'!G199</x:f>
        <x:v>New User Customer 35</x:v>
      </x:c>
      <x:c r="H199" s="192" t="n">
        <x:f>'Raw Data'!H199</x:f>
        <x:v>166</x:v>
      </x:c>
      <x:c r="I199" s="195" t="n">
        <x:f>'Raw Data'!I199</x:f>
        <x:v>384</x:v>
      </x:c>
      <x:c r="J199" s="196" t="n">
        <x:f>'Raw Data'!J199</x:f>
        <x:v>0.06</x:v>
      </x:c>
      <x:c r="K199" s="195" t="n">
        <x:f>'Raw Data'!K199</x:f>
        <x:v>63744</x:v>
      </x:c>
      <x:c r="L199" s="195" t="n">
        <x:f>'Raw Data'!L199</x:f>
        <x:v>59919.35999999999</x:v>
      </x:c>
      <x:c r="M199" s="195" t="n">
        <x:f>'Raw Data'!M199</x:f>
        <x:v>44340.3264</x:v>
      </x:c>
      <x:c r="N199" s="195" t="n">
        <x:f>'Raw Data'!N199</x:f>
        <x:v>15579.033599999995</x:v>
      </x:c>
      <x:c r="O199" s="195" t="n">
        <x:f>'Raw Data'!O199</x:f>
        <x:v>7789.516799999999</x:v>
      </x:c>
      <x:c r="P199" s="195" t="n">
        <x:f>'Raw Data'!P199</x:f>
        <x:v>7789.516799999996</x:v>
      </x:c>
      <x:c r="Q199" s="195" t="n">
        <x:f>'Raw Data'!Q199</x:f>
        <x:v>63075.64448737551</x:v>
      </x:c>
      <x:c r="R199" s="196" t="n">
        <x:f t="shared" si="9">IFERROR(N199/L199,0)</x:f>
        <x:v>0.25999999999999995</x:v>
      </x:c>
      <x:c r="S199" s="196" t="n">
        <x:f t="shared" si="10">IFERROR(P199/L199,0)</x:f>
        <x:v>0.12999999999999995</x:v>
      </x:c>
      <x:c r="T199" s="196" t="n">
        <x:f t="shared" si="11">IFERROR(L199/Q199,0)</x:f>
        <x:v>0.949960329172582</x:v>
      </x:c>
    </x:row>
    <x:row r="200">
      <x:c r="A200" s="192" t="str">
        <x:f>'Raw Data'!A200</x:f>
        <x:v>ZOM-0196</x:v>
      </x:c>
      <x:c r="B200" s="193" t="n">
        <x:f>'Raw Data'!B200</x:f>
        <x:v>45853</x:v>
      </x:c>
      <x:c r="C200" s="236" t="str">
        <x:f>'Raw Data'!C200</x:f>
        <x:v>South</x:v>
      </x:c>
      <x:c r="D200" s="192" t="str">
        <x:f>'Raw Data'!D200</x:f>
        <x:v>Bengaluru</x:v>
      </x:c>
      <x:c r="E200" s="192" t="str">
        <x:f>'Raw Data'!E200</x:f>
        <x:v>North Indian</x:v>
      </x:c>
      <x:c r="F200" s="192" t="str">
        <x:f>'Raw Data'!F200</x:f>
        <x:v>Student</x:v>
      </x:c>
      <x:c r="G200" s="192" t="str">
        <x:f>'Raw Data'!G200</x:f>
        <x:v>Student Customer 16</x:v>
      </x:c>
      <x:c r="H200" s="192" t="n">
        <x:f>'Raw Data'!H200</x:f>
        <x:v>86</x:v>
      </x:c>
      <x:c r="I200" s="195" t="n">
        <x:f>'Raw Data'!I200</x:f>
        <x:v>609</x:v>
      </x:c>
      <x:c r="J200" s="196" t="n">
        <x:f>'Raw Data'!J200</x:f>
        <x:v>0.12</x:v>
      </x:c>
      <x:c r="K200" s="195" t="n">
        <x:f>'Raw Data'!K200</x:f>
        <x:v>52374</x:v>
      </x:c>
      <x:c r="L200" s="195" t="n">
        <x:f>'Raw Data'!L200</x:f>
        <x:v>46089.12</x:v>
      </x:c>
      <x:c r="M200" s="195" t="n">
        <x:f>'Raw Data'!M200</x:f>
        <x:v>33645.0576</x:v>
      </x:c>
      <x:c r="N200" s="195" t="n">
        <x:f>'Raw Data'!N200</x:f>
        <x:v>12444.062400000003</x:v>
      </x:c>
      <x:c r="O200" s="195" t="n">
        <x:f>'Raw Data'!O200</x:f>
        <x:v>5991.5856</x:v>
      </x:c>
      <x:c r="P200" s="195" t="n">
        <x:f>'Raw Data'!P200</x:f>
        <x:v>6452.476800000002</x:v>
      </x:c>
      <x:c r="Q200" s="195" t="n">
        <x:f>'Raw Data'!Q200</x:f>
        <x:v>50615.34344946898</x:v>
      </x:c>
      <x:c r="R200" s="196" t="n">
        <x:f t="shared" si="9">IFERROR(N200/L200,0)</x:f>
        <x:v>0.27</x:v>
      </x:c>
      <x:c r="S200" s="196" t="n">
        <x:f t="shared" si="10">IFERROR(P200/L200,0)</x:f>
        <x:v>0.14000000000000004</x:v>
      </x:c>
      <x:c r="T200" s="196" t="n">
        <x:f t="shared" si="11">IFERROR(L200/Q200,0)</x:f>
        <x:v>0.9105760597280613</x:v>
      </x:c>
    </x:row>
    <x:row r="201">
      <x:c r="A201" s="192" t="str">
        <x:f>'Raw Data'!A201</x:f>
        <x:v>ZOM-0197</x:v>
      </x:c>
      <x:c r="B201" s="193" t="n">
        <x:f>'Raw Data'!B201</x:f>
        <x:v>45854</x:v>
      </x:c>
      <x:c r="C201" s="236" t="str">
        <x:f>'Raw Data'!C201</x:f>
        <x:v>South</x:v>
      </x:c>
      <x:c r="D201" s="192" t="str">
        <x:f>'Raw Data'!D201</x:f>
        <x:v>Hyderabad</x:v>
      </x:c>
      <x:c r="E201" s="192" t="str">
        <x:f>'Raw Data'!E201</x:f>
        <x:v>Snacks</x:v>
      </x:c>
      <x:c r="F201" s="192" t="str">
        <x:f>'Raw Data'!F201</x:f>
        <x:v>Gold User</x:v>
      </x:c>
      <x:c r="G201" s="192" t="str">
        <x:f>'Raw Data'!G201</x:f>
        <x:v>Gold User Customer 12</x:v>
      </x:c>
      <x:c r="H201" s="192" t="n">
        <x:f>'Raw Data'!H201</x:f>
        <x:v>153</x:v>
      </x:c>
      <x:c r="I201" s="195" t="n">
        <x:f>'Raw Data'!I201</x:f>
        <x:v>228</x:v>
      </x:c>
      <x:c r="J201" s="196" t="n">
        <x:f>'Raw Data'!J201</x:f>
        <x:v>0.009999999999999998</x:v>
      </x:c>
      <x:c r="K201" s="195" t="n">
        <x:f>'Raw Data'!K201</x:f>
        <x:v>34884</x:v>
      </x:c>
      <x:c r="L201" s="195" t="n">
        <x:f>'Raw Data'!L201</x:f>
        <x:v>34535.159999999996</x:v>
      </x:c>
      <x:c r="M201" s="195" t="n">
        <x:f>'Raw Data'!M201</x:f>
        <x:v>25556.018399999997</x:v>
      </x:c>
      <x:c r="N201" s="195" t="n">
        <x:f>'Raw Data'!N201</x:f>
        <x:v>8979.141599999999</x:v>
      </x:c>
      <x:c r="O201" s="195" t="n">
        <x:f>'Raw Data'!O201</x:f>
        <x:v>4489.5707999999995</x:v>
      </x:c>
      <x:c r="P201" s="195" t="n">
        <x:f>'Raw Data'!P201</x:f>
        <x:v>4489.5707999999995</x:v>
      </x:c>
      <x:c r="Q201" s="195" t="n">
        <x:f>'Raw Data'!Q201</x:f>
        <x:v>37582.04013953372</x:v>
      </x:c>
      <x:c r="R201" s="196" t="n">
        <x:f t="shared" si="9">IFERROR(N201/L201,0)</x:f>
        <x:v>0.26</x:v>
      </x:c>
      <x:c r="S201" s="196" t="n">
        <x:f t="shared" si="10">IFERROR(P201/L201,0)</x:f>
        <x:v>0.13</x:v>
      </x:c>
      <x:c r="T201" s="196" t="n">
        <x:f t="shared" si="11">IFERROR(L201/Q201,0)</x:f>
        <x:v>0.9189272288512987</x:v>
      </x:c>
    </x:row>
    <x:row r="202">
      <x:c r="A202" s="192" t="str">
        <x:f>'Raw Data'!A202</x:f>
        <x:v>ZOM-0198</x:v>
      </x:c>
      <x:c r="B202" s="193" t="n">
        <x:f>'Raw Data'!B202</x:f>
        <x:v>45855</x:v>
      </x:c>
      <x:c r="C202" s="236" t="str">
        <x:f>'Raw Data'!C202</x:f>
        <x:v>East</x:v>
      </x:c>
      <x:c r="D202" s="192" t="str">
        <x:f>'Raw Data'!D202</x:f>
        <x:v>Ranchi</x:v>
      </x:c>
      <x:c r="E202" s="192" t="str">
        <x:f>'Raw Data'!E202</x:f>
        <x:v>Chinese</x:v>
      </x:c>
      <x:c r="F202" s="192" t="str">
        <x:f>'Raw Data'!F202</x:f>
        <x:v>New User</x:v>
      </x:c>
      <x:c r="G202" s="192" t="str">
        <x:f>'Raw Data'!G202</x:f>
        <x:v>New User Customer 10</x:v>
      </x:c>
      <x:c r="H202" s="192" t="n">
        <x:f>'Raw Data'!H202</x:f>
        <x:v>103</x:v>
      </x:c>
      <x:c r="I202" s="195" t="n">
        <x:f>'Raw Data'!I202</x:f>
        <x:v>539</x:v>
      </x:c>
      <x:c r="J202" s="196" t="n">
        <x:f>'Raw Data'!J202</x:f>
        <x:v>0.09</x:v>
      </x:c>
      <x:c r="K202" s="195" t="n">
        <x:f>'Raw Data'!K202</x:f>
        <x:v>55517</x:v>
      </x:c>
      <x:c r="L202" s="195" t="n">
        <x:f>'Raw Data'!L202</x:f>
        <x:v>50520.47</x:v>
      </x:c>
      <x:c r="M202" s="195" t="n">
        <x:f>'Raw Data'!M202</x:f>
        <x:v>37385.1478</x:v>
      </x:c>
      <x:c r="N202" s="195" t="n">
        <x:f>'Raw Data'!N202</x:f>
        <x:v>13135.322200000002</x:v>
      </x:c>
      <x:c r="O202" s="195" t="n">
        <x:f>'Raw Data'!O202</x:f>
        <x:v>6567.6611</x:v>
      </x:c>
      <x:c r="P202" s="195" t="n">
        <x:f>'Raw Data'!P202</x:f>
        <x:v>6567.661100000002</x:v>
      </x:c>
      <x:c r="Q202" s="195" t="n">
        <x:f>'Raw Data'!Q202</x:f>
        <x:v>53044.41993836349</x:v>
      </x:c>
      <x:c r="R202" s="196" t="n">
        <x:f t="shared" si="9">IFERROR(N202/L202,0)</x:f>
        <x:v>0.26000000000000006</x:v>
      </x:c>
      <x:c r="S202" s="196" t="n">
        <x:f t="shared" si="10">IFERROR(P202/L202,0)</x:f>
        <x:v>0.13000000000000003</x:v>
      </x:c>
      <x:c r="T202" s="196" t="n">
        <x:f t="shared" si="11">IFERROR(L202/Q202,0)</x:f>
        <x:v>0.9524181819445614</x:v>
      </x:c>
    </x:row>
    <x:row r="203">
      <x:c r="A203" s="192" t="str">
        <x:f>'Raw Data'!A203</x:f>
        <x:v>ZOM-0199</x:v>
      </x:c>
      <x:c r="B203" s="193" t="n">
        <x:f>'Raw Data'!B203</x:f>
        <x:v>45856</x:v>
      </x:c>
      <x:c r="C203" s="236" t="str">
        <x:f>'Raw Data'!C203</x:f>
        <x:v>South</x:v>
      </x:c>
      <x:c r="D203" s="192" t="str">
        <x:f>'Raw Data'!D203</x:f>
        <x:v>Hyderabad</x:v>
      </x:c>
      <x:c r="E203" s="192" t="str">
        <x:f>'Raw Data'!E203</x:f>
        <x:v>Desserts</x:v>
      </x:c>
      <x:c r="F203" s="192" t="str">
        <x:f>'Raw Data'!F203</x:f>
        <x:v>Gold User</x:v>
      </x:c>
      <x:c r="G203" s="192" t="str">
        <x:f>'Raw Data'!G203</x:f>
        <x:v>Gold User Customer 27</x:v>
      </x:c>
      <x:c r="H203" s="192" t="n">
        <x:f>'Raw Data'!H203</x:f>
        <x:v>123</x:v>
      </x:c>
      <x:c r="I203" s="195" t="n">
        <x:f>'Raw Data'!I203</x:f>
        <x:v>266</x:v>
      </x:c>
      <x:c r="J203" s="196" t="n">
        <x:f>'Raw Data'!J203</x:f>
        <x:v>0.03</x:v>
      </x:c>
      <x:c r="K203" s="195" t="n">
        <x:f>'Raw Data'!K203</x:f>
        <x:v>32718</x:v>
      </x:c>
      <x:c r="L203" s="195" t="n">
        <x:f>'Raw Data'!L203</x:f>
        <x:v>31736.46</x:v>
      </x:c>
      <x:c r="M203" s="195" t="n">
        <x:f>'Raw Data'!M203</x:f>
        <x:v>21898.157399999996</x:v>
      </x:c>
      <x:c r="N203" s="195" t="n">
        <x:f>'Raw Data'!N203</x:f>
        <x:v>9838.302600000003</x:v>
      </x:c>
      <x:c r="O203" s="195" t="n">
        <x:f>'Raw Data'!O203</x:f>
        <x:v>4125.7398</x:v>
      </x:c>
      <x:c r="P203" s="195" t="n">
        <x:f>'Raw Data'!P203</x:f>
        <x:v>5712.562800000002</x:v>
      </x:c>
      <x:c r="Q203" s="195" t="n">
        <x:f>'Raw Data'!Q203</x:f>
        <x:v>33878.236703235234</x:v>
      </x:c>
      <x:c r="R203" s="196" t="n">
        <x:f t="shared" si="9">IFERROR(N203/L203,0)</x:f>
        <x:v>0.3100000000000001</x:v>
      </x:c>
      <x:c r="S203" s="196" t="n">
        <x:f t="shared" si="10">IFERROR(P203/L203,0)</x:f>
        <x:v>0.18000000000000008</x:v>
      </x:c>
      <x:c r="T203" s="196" t="n">
        <x:f t="shared" si="11">IFERROR(L203/Q203,0)</x:f>
        <x:v>0.936780160018461</x:v>
      </x:c>
    </x:row>
    <x:row r="204">
      <x:c r="A204" s="192" t="str">
        <x:f>'Raw Data'!A204</x:f>
        <x:v>ZOM-0200</x:v>
      </x:c>
      <x:c r="B204" s="193" t="n">
        <x:f>'Raw Data'!B204</x:f>
        <x:v>45857</x:v>
      </x:c>
      <x:c r="C204" s="236" t="str">
        <x:f>'Raw Data'!C204</x:f>
        <x:v>West</x:v>
      </x:c>
      <x:c r="D204" s="192" t="str">
        <x:f>'Raw Data'!D204</x:f>
        <x:v>Pune</x:v>
      </x:c>
      <x:c r="E204" s="192" t="str">
        <x:f>'Raw Data'!E204</x:f>
        <x:v>Pizza</x:v>
      </x:c>
      <x:c r="F204" s="192" t="str">
        <x:f>'Raw Data'!F204</x:f>
        <x:v>Repeat User</x:v>
      </x:c>
      <x:c r="G204" s="192" t="str">
        <x:f>'Raw Data'!G204</x:f>
        <x:v>Repeat User Customer 13</x:v>
      </x:c>
      <x:c r="H204" s="192" t="n">
        <x:f>'Raw Data'!H204</x:f>
        <x:v>131</x:v>
      </x:c>
      <x:c r="I204" s="195" t="n">
        <x:f>'Raw Data'!I204</x:f>
        <x:v>681</x:v>
      </x:c>
      <x:c r="J204" s="196" t="n">
        <x:f>'Raw Data'!J204</x:f>
        <x:v>0.060000000000000005</x:v>
      </x:c>
      <x:c r="K204" s="195" t="n">
        <x:f>'Raw Data'!K204</x:f>
        <x:v>89211</x:v>
      </x:c>
      <x:c r="L204" s="195" t="n">
        <x:f>'Raw Data'!L204</x:f>
        <x:v>83858.34</x:v>
      </x:c>
      <x:c r="M204" s="195" t="n">
        <x:f>'Raw Data'!M204</x:f>
        <x:v>62055.171599999994</x:v>
      </x:c>
      <x:c r="N204" s="195" t="n">
        <x:f>'Raw Data'!N204</x:f>
        <x:v>21803.168400000002</x:v>
      </x:c>
      <x:c r="O204" s="195" t="n">
        <x:f>'Raw Data'!O204</x:f>
        <x:v>10901.5842</x:v>
      </x:c>
      <x:c r="P204" s="195" t="n">
        <x:f>'Raw Data'!P204</x:f>
        <x:v>10901.584200000003</x:v>
      </x:c>
      <x:c r="Q204" s="195" t="n">
        <x:f>'Raw Data'!Q204</x:f>
        <x:v>91149.83653961515</x:v>
      </x:c>
      <x:c r="R204" s="196" t="n">
        <x:f t="shared" si="9">IFERROR(N204/L204,0)</x:f>
        <x:v>0.26000000000000006</x:v>
      </x:c>
      <x:c r="S204" s="196" t="n">
        <x:f t="shared" si="10">IFERROR(P204/L204,0)</x:f>
        <x:v>0.13000000000000003</x:v>
      </x:c>
      <x:c r="T204" s="196" t="n">
        <x:f t="shared" si="11">IFERROR(L204/Q204,0)</x:f>
        <x:v>0.9200053799718428</x:v>
      </x:c>
    </x:row>
    <x:row r="205">
      <x:c r="A205" s="192" t="str">
        <x:f>'Raw Data'!A205</x:f>
        <x:v>ZOM-0201</x:v>
      </x:c>
      <x:c r="B205" s="193" t="n">
        <x:f>'Raw Data'!B205</x:f>
        <x:v>45858</x:v>
      </x:c>
      <x:c r="C205" s="236" t="str">
        <x:f>'Raw Data'!C205</x:f>
        <x:v>North</x:v>
      </x:c>
      <x:c r="D205" s="192" t="str">
        <x:f>'Raw Data'!D205</x:f>
        <x:v>Jaipur</x:v>
      </x:c>
      <x:c r="E205" s="192" t="str">
        <x:f>'Raw Data'!E205</x:f>
        <x:v>Burgers</x:v>
      </x:c>
      <x:c r="F205" s="192" t="str">
        <x:f>'Raw Data'!F205</x:f>
        <x:v>Corporate</x:v>
      </x:c>
      <x:c r="G205" s="192" t="str">
        <x:f>'Raw Data'!G205</x:f>
        <x:v>Corporate Customer 59</x:v>
      </x:c>
      <x:c r="H205" s="192" t="n">
        <x:f>'Raw Data'!H205</x:f>
        <x:v>97</x:v>
      </x:c>
      <x:c r="I205" s="195" t="n">
        <x:f>'Raw Data'!I205</x:f>
        <x:v>369</x:v>
      </x:c>
      <x:c r="J205" s="196" t="n">
        <x:f>'Raw Data'!J205</x:f>
        <x:v>0.02</x:v>
      </x:c>
      <x:c r="K205" s="195" t="n">
        <x:f>'Raw Data'!K205</x:f>
        <x:v>35793</x:v>
      </x:c>
      <x:c r="L205" s="195" t="n">
        <x:f>'Raw Data'!L205</x:f>
        <x:v>35077.14</x:v>
      </x:c>
      <x:c r="M205" s="195" t="n">
        <x:f>'Raw Data'!M205</x:f>
        <x:v>25957.083599999998</x:v>
      </x:c>
      <x:c r="N205" s="195" t="n">
        <x:f>'Raw Data'!N205</x:f>
        <x:v>9120.056400000001</x:v>
      </x:c>
      <x:c r="O205" s="195" t="n">
        <x:f>'Raw Data'!O205</x:f>
        <x:v>4560.0282</x:v>
      </x:c>
      <x:c r="P205" s="195" t="n">
        <x:f>'Raw Data'!P205</x:f>
        <x:v>4560.028200000002</x:v>
      </x:c>
      <x:c r="Q205" s="195" t="n">
        <x:f>'Raw Data'!Q205</x:f>
        <x:v>36478.67228947143</x:v>
      </x:c>
      <x:c r="R205" s="196" t="n">
        <x:f t="shared" si="9">IFERROR(N205/L205,0)</x:f>
        <x:v>0.26000000000000006</x:v>
      </x:c>
      <x:c r="S205" s="196" t="n">
        <x:f t="shared" si="10">IFERROR(P205/L205,0)</x:f>
        <x:v>0.13000000000000006</x:v>
      </x:c>
      <x:c r="T205" s="196" t="n">
        <x:f t="shared" si="11">IFERROR(L205/Q205,0)</x:f>
        <x:v>0.9615794051288443</x:v>
      </x:c>
    </x:row>
    <x:row r="206">
      <x:c r="A206" s="192" t="str">
        <x:f>'Raw Data'!A206</x:f>
        <x:v>ZOM-0202</x:v>
      </x:c>
      <x:c r="B206" s="193" t="n">
        <x:f>'Raw Data'!B206</x:f>
        <x:v>45859</x:v>
      </x:c>
      <x:c r="C206" s="236" t="str">
        <x:f>'Raw Data'!C206</x:f>
        <x:v>North</x:v>
      </x:c>
      <x:c r="D206" s="192" t="str">
        <x:f>'Raw Data'!D206</x:f>
        <x:v>Noida</x:v>
      </x:c>
      <x:c r="E206" s="192" t="str">
        <x:f>'Raw Data'!E206</x:f>
        <x:v>Snacks</x:v>
      </x:c>
      <x:c r="F206" s="192" t="str">
        <x:f>'Raw Data'!F206</x:f>
        <x:v>New User</x:v>
      </x:c>
      <x:c r="G206" s="192" t="str">
        <x:f>'Raw Data'!G206</x:f>
        <x:v>New User Customer 19</x:v>
      </x:c>
      <x:c r="H206" s="192" t="n">
        <x:f>'Raw Data'!H206</x:f>
        <x:v>131</x:v>
      </x:c>
      <x:c r="I206" s="195" t="n">
        <x:f>'Raw Data'!I206</x:f>
        <x:v>291</x:v>
      </x:c>
      <x:c r="J206" s="196" t="n">
        <x:f>'Raw Data'!J206</x:f>
        <x:v>0.08</x:v>
      </x:c>
      <x:c r="K206" s="195" t="n">
        <x:f>'Raw Data'!K206</x:f>
        <x:v>38121</x:v>
      </x:c>
      <x:c r="L206" s="195" t="n">
        <x:f>'Raw Data'!L206</x:f>
        <x:v>35071.32</x:v>
      </x:c>
      <x:c r="M206" s="195" t="n">
        <x:f>'Raw Data'!M206</x:f>
        <x:v>25952.7768</x:v>
      </x:c>
      <x:c r="N206" s="195" t="n">
        <x:f>'Raw Data'!N206</x:f>
        <x:v>9118.5432</x:v>
      </x:c>
      <x:c r="O206" s="195" t="n">
        <x:f>'Raw Data'!O206</x:f>
        <x:v>4559.2716</x:v>
      </x:c>
      <x:c r="P206" s="195" t="n">
        <x:f>'Raw Data'!P206</x:f>
        <x:v>4559.2716</x:v>
      </x:c>
      <x:c r="Q206" s="195" t="n">
        <x:f>'Raw Data'!Q206</x:f>
        <x:v>36424.85554696664</x:v>
      </x:c>
      <x:c r="R206" s="196" t="n">
        <x:f t="shared" si="9">IFERROR(N206/L206,0)</x:f>
        <x:v>0.26</x:v>
      </x:c>
      <x:c r="S206" s="196" t="n">
        <x:f t="shared" si="10">IFERROR(P206/L206,0)</x:f>
        <x:v>0.13</x:v>
      </x:c>
      <x:c r="T206" s="196" t="n">
        <x:f t="shared" si="11">IFERROR(L206/Q206,0)</x:f>
        <x:v>0.9628403317832963</x:v>
      </x:c>
    </x:row>
    <x:row r="207">
      <x:c r="A207" s="192" t="str">
        <x:f>'Raw Data'!A207</x:f>
        <x:v>ZOM-0203</x:v>
      </x:c>
      <x:c r="B207" s="193" t="n">
        <x:f>'Raw Data'!B207</x:f>
        <x:v>45860</x:v>
      </x:c>
      <x:c r="C207" s="236" t="str">
        <x:f>'Raw Data'!C207</x:f>
        <x:v>South</x:v>
      </x:c>
      <x:c r="D207" s="192" t="str">
        <x:f>'Raw Data'!D207</x:f>
        <x:v>Coimbatore</x:v>
      </x:c>
      <x:c r="E207" s="192" t="str">
        <x:f>'Raw Data'!E207</x:f>
        <x:v>Burgers</x:v>
      </x:c>
      <x:c r="F207" s="192" t="str">
        <x:f>'Raw Data'!F207</x:f>
        <x:v>Repeat User</x:v>
      </x:c>
      <x:c r="G207" s="192" t="str">
        <x:f>'Raw Data'!G207</x:f>
        <x:v>Repeat User Customer 49</x:v>
      </x:c>
      <x:c r="H207" s="192" t="n">
        <x:f>'Raw Data'!H207</x:f>
        <x:v>130</x:v>
      </x:c>
      <x:c r="I207" s="195" t="n">
        <x:f>'Raw Data'!I207</x:f>
        <x:v>427</x:v>
      </x:c>
      <x:c r="J207" s="196" t="n">
        <x:f>'Raw Data'!J207</x:f>
        <x:v>0.060000000000000005</x:v>
      </x:c>
      <x:c r="K207" s="195" t="n">
        <x:f>'Raw Data'!K207</x:f>
        <x:v>55510</x:v>
      </x:c>
      <x:c r="L207" s="195" t="n">
        <x:f>'Raw Data'!L207</x:f>
        <x:v>52179.399999999994</x:v>
      </x:c>
      <x:c r="M207" s="195" t="n">
        <x:f>'Raw Data'!M207</x:f>
        <x:v>38612.755999999994</x:v>
      </x:c>
      <x:c r="N207" s="195" t="n">
        <x:f>'Raw Data'!N207</x:f>
        <x:v>13566.644</x:v>
      </x:c>
      <x:c r="O207" s="195" t="n">
        <x:f>'Raw Data'!O207</x:f>
        <x:v>6783.321999999999</x:v>
      </x:c>
      <x:c r="P207" s="195" t="n">
        <x:f>'Raw Data'!P207</x:f>
        <x:v>6783.322000000001</x:v>
      </x:c>
      <x:c r="Q207" s="195" t="n">
        <x:f>'Raw Data'!Q207</x:f>
        <x:v>56702.81281608903</x:v>
      </x:c>
      <x:c r="R207" s="196" t="n">
        <x:f t="shared" si="9">IFERROR(N207/L207,0)</x:f>
        <x:v>0.26</x:v>
      </x:c>
      <x:c r="S207" s="196" t="n">
        <x:f t="shared" si="10">IFERROR(P207/L207,0)</x:f>
        <x:v>0.13000000000000003</x:v>
      </x:c>
      <x:c r="T207" s="196" t="n">
        <x:f t="shared" si="11">IFERROR(L207/Q207,0)</x:f>
        <x:v>0.9202259536795757</x:v>
      </x:c>
    </x:row>
    <x:row r="208">
      <x:c r="A208" s="192" t="str">
        <x:f>'Raw Data'!A208</x:f>
        <x:v>ZOM-0204</x:v>
      </x:c>
      <x:c r="B208" s="193" t="n">
        <x:f>'Raw Data'!B208</x:f>
        <x:v>45861</x:v>
      </x:c>
      <x:c r="C208" s="236" t="str">
        <x:f>'Raw Data'!C208</x:f>
        <x:v>Metro</x:v>
      </x:c>
      <x:c r="D208" s="192" t="str">
        <x:f>'Raw Data'!D208</x:f>
        <x:v>Mumbai</x:v>
      </x:c>
      <x:c r="E208" s="192" t="str">
        <x:f>'Raw Data'!E208</x:f>
        <x:v>Pizza</x:v>
      </x:c>
      <x:c r="F208" s="192" t="str">
        <x:f>'Raw Data'!F208</x:f>
        <x:v>Repeat User</x:v>
      </x:c>
      <x:c r="G208" s="192" t="str">
        <x:f>'Raw Data'!G208</x:f>
        <x:v>Repeat User Customer 47</x:v>
      </x:c>
      <x:c r="H208" s="192" t="n">
        <x:f>'Raw Data'!H208</x:f>
        <x:v>171</x:v>
      </x:c>
      <x:c r="I208" s="195" t="n">
        <x:f>'Raw Data'!I208</x:f>
        <x:v>739</x:v>
      </x:c>
      <x:c r="J208" s="196" t="n">
        <x:f>'Raw Data'!J208</x:f>
        <x:v>0.05</x:v>
      </x:c>
      <x:c r="K208" s="195" t="n">
        <x:f>'Raw Data'!K208</x:f>
        <x:v>126369</x:v>
      </x:c>
      <x:c r="L208" s="195" t="n">
        <x:f>'Raw Data'!L208</x:f>
        <x:v>120050.54999999999</x:v>
      </x:c>
      <x:c r="M208" s="195" t="n">
        <x:f>'Raw Data'!M208</x:f>
        <x:v>88837.40699999999</x:v>
      </x:c>
      <x:c r="N208" s="195" t="n">
        <x:f>'Raw Data'!N208</x:f>
        <x:v>31213.142999999996</x:v>
      </x:c>
      <x:c r="O208" s="195" t="n">
        <x:f>'Raw Data'!O208</x:f>
        <x:v>15606.571499999998</x:v>
      </x:c>
      <x:c r="P208" s="195" t="n">
        <x:f>'Raw Data'!P208</x:f>
        <x:v>15606.571499999998</x:v>
      </x:c>
      <x:c r="Q208" s="195" t="n">
        <x:f>'Raw Data'!Q208</x:f>
        <x:v>128464.1520847992</x:v>
      </x:c>
      <x:c r="R208" s="196" t="n">
        <x:f t="shared" si="9">IFERROR(N208/L208,0)</x:f>
        <x:v>0.26</x:v>
      </x:c>
      <x:c r="S208" s="196" t="n">
        <x:f t="shared" si="10">IFERROR(P208/L208,0)</x:f>
        <x:v>0.13</x:v>
      </x:c>
      <x:c r="T208" s="196" t="n">
        <x:f t="shared" si="11">IFERROR(L208/Q208,0)</x:f>
        <x:v>0.9345062264588381</x:v>
      </x:c>
    </x:row>
    <x:row r="209">
      <x:c r="A209" s="192" t="str">
        <x:f>'Raw Data'!A209</x:f>
        <x:v>ZOM-0205</x:v>
      </x:c>
      <x:c r="B209" s="193" t="n">
        <x:f>'Raw Data'!B209</x:f>
        <x:v>45862</x:v>
      </x:c>
      <x:c r="C209" s="236" t="str">
        <x:f>'Raw Data'!C209</x:f>
        <x:v>West</x:v>
      </x:c>
      <x:c r="D209" s="192" t="str">
        <x:f>'Raw Data'!D209</x:f>
        <x:v>Pune</x:v>
      </x:c>
      <x:c r="E209" s="192" t="str">
        <x:f>'Raw Data'!E209</x:f>
        <x:v>Biryani</x:v>
      </x:c>
      <x:c r="F209" s="192" t="str">
        <x:f>'Raw Data'!F209</x:f>
        <x:v>Repeat User</x:v>
      </x:c>
      <x:c r="G209" s="192" t="str">
        <x:f>'Raw Data'!G209</x:f>
        <x:v>Repeat User Customer 49</x:v>
      </x:c>
      <x:c r="H209" s="192" t="n">
        <x:f>'Raw Data'!H209</x:f>
        <x:v>166</x:v>
      </x:c>
      <x:c r="I209" s="195" t="n">
        <x:f>'Raw Data'!I209</x:f>
        <x:v>542</x:v>
      </x:c>
      <x:c r="J209" s="196" t="n">
        <x:f>'Raw Data'!J209</x:f>
        <x:v>0.060000000000000005</x:v>
      </x:c>
      <x:c r="K209" s="195" t="n">
        <x:f>'Raw Data'!K209</x:f>
        <x:v>89972</x:v>
      </x:c>
      <x:c r="L209" s="195" t="n">
        <x:f>'Raw Data'!L209</x:f>
        <x:v>84573.68</x:v>
      </x:c>
      <x:c r="M209" s="195" t="n">
        <x:f>'Raw Data'!M209</x:f>
        <x:v>62584.523199999996</x:v>
      </x:c>
      <x:c r="N209" s="195" t="n">
        <x:f>'Raw Data'!N209</x:f>
        <x:v>21989.156799999997</x:v>
      </x:c>
      <x:c r="O209" s="195" t="n">
        <x:f>'Raw Data'!O209</x:f>
        <x:v>10994.5784</x:v>
      </x:c>
      <x:c r="P209" s="195" t="n">
        <x:f>'Raw Data'!P209</x:f>
        <x:v>10994.578399999997</x:v>
      </x:c>
      <x:c r="Q209" s="195" t="n">
        <x:f>'Raw Data'!Q209</x:f>
        <x:v>87999.56644850393</x:v>
      </x:c>
      <x:c r="R209" s="196" t="n">
        <x:f t="shared" si="9">IFERROR(N209/L209,0)</x:f>
        <x:v>0.26</x:v>
      </x:c>
      <x:c r="S209" s="196" t="n">
        <x:f t="shared" si="10">IFERROR(P209/L209,0)</x:f>
        <x:v>0.12999999999999998</x:v>
      </x:c>
      <x:c r="T209" s="196" t="n">
        <x:f t="shared" si="11">IFERROR(L209/Q209,0)</x:f>
        <x:v>0.9610692803752764</x:v>
      </x:c>
    </x:row>
    <x:row r="210">
      <x:c r="A210" s="192" t="str">
        <x:f>'Raw Data'!A210</x:f>
        <x:v>ZOM-0206</x:v>
      </x:c>
      <x:c r="B210" s="193" t="n">
        <x:f>'Raw Data'!B210</x:f>
        <x:v>45863</x:v>
      </x:c>
      <x:c r="C210" s="236" t="str">
        <x:f>'Raw Data'!C210</x:f>
        <x:v>Central</x:v>
      </x:c>
      <x:c r="D210" s="192" t="str">
        <x:f>'Raw Data'!D210</x:f>
        <x:v>Kanpur</x:v>
      </x:c>
      <x:c r="E210" s="192" t="str">
        <x:f>'Raw Data'!E210</x:f>
        <x:v>South Indian</x:v>
      </x:c>
      <x:c r="F210" s="192" t="str">
        <x:f>'Raw Data'!F210</x:f>
        <x:v>Budget</x:v>
      </x:c>
      <x:c r="G210" s="192" t="str">
        <x:f>'Raw Data'!G210</x:f>
        <x:v>Budget Customer 04</x:v>
      </x:c>
      <x:c r="H210" s="192" t="n">
        <x:f>'Raw Data'!H210</x:f>
        <x:v>85</x:v>
      </x:c>
      <x:c r="I210" s="195" t="n">
        <x:f>'Raw Data'!I210</x:f>
        <x:v>321</x:v>
      </x:c>
      <x:c r="J210" s="196" t="n">
        <x:f>'Raw Data'!J210</x:f>
        <x:v>0.11</x:v>
      </x:c>
      <x:c r="K210" s="195" t="n">
        <x:f>'Raw Data'!K210</x:f>
        <x:v>27285</x:v>
      </x:c>
      <x:c r="L210" s="195" t="n">
        <x:f>'Raw Data'!L210</x:f>
        <x:v>24283.65</x:v>
      </x:c>
      <x:c r="M210" s="195" t="n">
        <x:f>'Raw Data'!M210</x:f>
        <x:v>17969.901</x:v>
      </x:c>
      <x:c r="N210" s="195" t="n">
        <x:f>'Raw Data'!N210</x:f>
        <x:v>6313.749</x:v>
      </x:c>
      <x:c r="O210" s="195" t="n">
        <x:f>'Raw Data'!O210</x:f>
        <x:v>3156.8745000000004</x:v>
      </x:c>
      <x:c r="P210" s="195" t="n">
        <x:f>'Raw Data'!P210</x:f>
        <x:v>3156.8744999999994</x:v>
      </x:c>
      <x:c r="Q210" s="195" t="n">
        <x:f>'Raw Data'!Q210</x:f>
        <x:v>27169.49043041846</x:v>
      </x:c>
      <x:c r="R210" s="196" t="n">
        <x:f t="shared" si="9">IFERROR(N210/L210,0)</x:f>
        <x:v>0.25999999999999995</x:v>
      </x:c>
      <x:c r="S210" s="196" t="n">
        <x:f t="shared" si="10">IFERROR(P210/L210,0)</x:f>
        <x:v>0.12999999999999998</x:v>
      </x:c>
      <x:c r="T210" s="196" t="n">
        <x:f t="shared" si="11">IFERROR(L210/Q210,0)</x:f>
        <x:v>0.8937837852421581</x:v>
      </x:c>
    </x:row>
    <x:row r="211">
      <x:c r="A211" s="192" t="str">
        <x:f>'Raw Data'!A211</x:f>
        <x:v>ZOM-0207</x:v>
      </x:c>
      <x:c r="B211" s="193" t="n">
        <x:f>'Raw Data'!B211</x:f>
        <x:v>45864</x:v>
      </x:c>
      <x:c r="C211" s="236" t="str">
        <x:f>'Raw Data'!C211</x:f>
        <x:v>West</x:v>
      </x:c>
      <x:c r="D211" s="192" t="str">
        <x:f>'Raw Data'!D211</x:f>
        <x:v>Mumbai</x:v>
      </x:c>
      <x:c r="E211" s="192" t="str">
        <x:f>'Raw Data'!E211</x:f>
        <x:v>Snacks</x:v>
      </x:c>
      <x:c r="F211" s="192" t="str">
        <x:f>'Raw Data'!F211</x:f>
        <x:v>Budget</x:v>
      </x:c>
      <x:c r="G211" s="192" t="str">
        <x:f>'Raw Data'!G211</x:f>
        <x:v>Budget Customer 30</x:v>
      </x:c>
      <x:c r="H211" s="192" t="n">
        <x:f>'Raw Data'!H211</x:f>
        <x:v>66</x:v>
      </x:c>
      <x:c r="I211" s="195" t="n">
        <x:f>'Raw Data'!I211</x:f>
        <x:v>239</x:v>
      </x:c>
      <x:c r="J211" s="196" t="n">
        <x:f>'Raw Data'!J211</x:f>
        <x:v>0.1</x:v>
      </x:c>
      <x:c r="K211" s="195" t="n">
        <x:f>'Raw Data'!K211</x:f>
        <x:v>15774</x:v>
      </x:c>
      <x:c r="L211" s="195" t="n">
        <x:f>'Raw Data'!L211</x:f>
        <x:v>14196.6</x:v>
      </x:c>
      <x:c r="M211" s="195" t="n">
        <x:f>'Raw Data'!M211</x:f>
        <x:v>10505.484</x:v>
      </x:c>
      <x:c r="N211" s="195" t="n">
        <x:f>'Raw Data'!N211</x:f>
        <x:v>3691.116</x:v>
      </x:c>
      <x:c r="O211" s="195" t="n">
        <x:f>'Raw Data'!O211</x:f>
        <x:v>1845.5580000000002</x:v>
      </x:c>
      <x:c r="P211" s="195" t="n">
        <x:f>'Raw Data'!P211</x:f>
        <x:v>1845.5579999999998</x:v>
      </x:c>
      <x:c r="Q211" s="195" t="n">
        <x:f>'Raw Data'!Q211</x:f>
        <x:v>14569.209084235927</x:v>
      </x:c>
      <x:c r="R211" s="196" t="n">
        <x:f t="shared" si="9">IFERROR(N211/L211,0)</x:f>
        <x:v>0.26</x:v>
      </x:c>
      <x:c r="S211" s="196" t="n">
        <x:f t="shared" si="10">IFERROR(P211/L211,0)</x:f>
        <x:v>0.12999999999999998</x:v>
      </x:c>
      <x:c r="T211" s="196" t="n">
        <x:f t="shared" si="11">IFERROR(L211/Q211,0)</x:f>
        <x:v>0.9744248927940025</x:v>
      </x:c>
    </x:row>
    <x:row r="212">
      <x:c r="A212" s="192" t="str">
        <x:f>'Raw Data'!A212</x:f>
        <x:v>ZOM-0208</x:v>
      </x:c>
      <x:c r="B212" s="193" t="n">
        <x:f>'Raw Data'!B212</x:f>
        <x:v>45865</x:v>
      </x:c>
      <x:c r="C212" s="236" t="str">
        <x:f>'Raw Data'!C212</x:f>
        <x:v>South</x:v>
      </x:c>
      <x:c r="D212" s="192" t="str">
        <x:f>'Raw Data'!D212</x:f>
        <x:v>Coimbatore</x:v>
      </x:c>
      <x:c r="E212" s="192" t="str">
        <x:f>'Raw Data'!E212</x:f>
        <x:v>Burgers</x:v>
      </x:c>
      <x:c r="F212" s="192" t="str">
        <x:f>'Raw Data'!F212</x:f>
        <x:v>Student</x:v>
      </x:c>
      <x:c r="G212" s="192" t="str">
        <x:f>'Raw Data'!G212</x:f>
        <x:v>Student Customer 34</x:v>
      </x:c>
      <x:c r="H212" s="192" t="n">
        <x:f>'Raw Data'!H212</x:f>
        <x:v>114</x:v>
      </x:c>
      <x:c r="I212" s="195" t="n">
        <x:f>'Raw Data'!I212</x:f>
        <x:v>452</x:v>
      </x:c>
      <x:c r="J212" s="196" t="n">
        <x:f>'Raw Data'!J212</x:f>
        <x:v>0.09999999999999999</x:v>
      </x:c>
      <x:c r="K212" s="195" t="n">
        <x:f>'Raw Data'!K212</x:f>
        <x:v>51528</x:v>
      </x:c>
      <x:c r="L212" s="195" t="n">
        <x:f>'Raw Data'!L212</x:f>
        <x:v>46375.200000000004</x:v>
      </x:c>
      <x:c r="M212" s="195" t="n">
        <x:f>'Raw Data'!M212</x:f>
        <x:v>34317.648</x:v>
      </x:c>
      <x:c r="N212" s="195" t="n">
        <x:f>'Raw Data'!N212</x:f>
        <x:v>12057.552000000003</x:v>
      </x:c>
      <x:c r="O212" s="195" t="n">
        <x:f>'Raw Data'!O212</x:f>
        <x:v>6028.776000000001</x:v>
      </x:c>
      <x:c r="P212" s="195" t="n">
        <x:f>'Raw Data'!P212</x:f>
        <x:v>6028.776000000003</x:v>
      </x:c>
      <x:c r="Q212" s="195" t="n">
        <x:f>'Raw Data'!Q212</x:f>
        <x:v>46441.15092205496</x:v>
      </x:c>
      <x:c r="R212" s="196" t="n">
        <x:f t="shared" si="9">IFERROR(N212/L212,0)</x:f>
        <x:v>0.26000000000000006</x:v>
      </x:c>
      <x:c r="S212" s="196" t="n">
        <x:f t="shared" si="10">IFERROR(P212/L212,0)</x:f>
        <x:v>0.13000000000000003</x:v>
      </x:c>
      <x:c r="T212" s="196" t="n">
        <x:f t="shared" si="11">IFERROR(L212/Q212,0)</x:f>
        <x:v>0.9985799033670452</x:v>
      </x:c>
    </x:row>
    <x:row r="213">
      <x:c r="A213" s="192" t="str">
        <x:f>'Raw Data'!A213</x:f>
        <x:v>ZOM-0209</x:v>
      </x:c>
      <x:c r="B213" s="193" t="n">
        <x:f>'Raw Data'!B213</x:f>
        <x:v>45866</x:v>
      </x:c>
      <x:c r="C213" s="236" t="str">
        <x:f>'Raw Data'!C213</x:f>
        <x:v>East</x:v>
      </x:c>
      <x:c r="D213" s="192" t="str">
        <x:f>'Raw Data'!D213</x:f>
        <x:v>Guwahati</x:v>
      </x:c>
      <x:c r="E213" s="192" t="str">
        <x:f>'Raw Data'!E213</x:f>
        <x:v>Snacks</x:v>
      </x:c>
      <x:c r="F213" s="192" t="str">
        <x:f>'Raw Data'!F213</x:f>
        <x:v>New User</x:v>
      </x:c>
      <x:c r="G213" s="192" t="str">
        <x:f>'Raw Data'!G213</x:f>
        <x:v>New User Customer 13</x:v>
      </x:c>
      <x:c r="H213" s="192" t="n">
        <x:f>'Raw Data'!H213</x:f>
        <x:v>113</x:v>
      </x:c>
      <x:c r="I213" s="195" t="n">
        <x:f>'Raw Data'!I213</x:f>
        <x:v>280</x:v>
      </x:c>
      <x:c r="J213" s="196" t="n">
        <x:f>'Raw Data'!J213</x:f>
        <x:v>0.08</x:v>
      </x:c>
      <x:c r="K213" s="195" t="n">
        <x:f>'Raw Data'!K213</x:f>
        <x:v>31640</x:v>
      </x:c>
      <x:c r="L213" s="195" t="n">
        <x:f>'Raw Data'!L213</x:f>
        <x:v>29108.800000000003</x:v>
      </x:c>
      <x:c r="M213" s="195" t="n">
        <x:f>'Raw Data'!M213</x:f>
        <x:v>21540.512000000002</x:v>
      </x:c>
      <x:c r="N213" s="195" t="n">
        <x:f>'Raw Data'!N213</x:f>
        <x:v>7568.2880000000005</x:v>
      </x:c>
      <x:c r="O213" s="195" t="n">
        <x:f>'Raw Data'!O213</x:f>
        <x:v>3784.1440000000007</x:v>
      </x:c>
      <x:c r="P213" s="195" t="n">
        <x:f>'Raw Data'!P213</x:f>
        <x:v>3784.144</x:v>
      </x:c>
      <x:c r="Q213" s="195" t="n">
        <x:f>'Raw Data'!Q213</x:f>
        <x:v>29628.907255949904</x:v>
      </x:c>
      <x:c r="R213" s="196" t="n">
        <x:f t="shared" si="9">IFERROR(N213/L213,0)</x:f>
        <x:v>0.26</x:v>
      </x:c>
      <x:c r="S213" s="196" t="n">
        <x:f t="shared" si="10">IFERROR(P213/L213,0)</x:f>
        <x:v>0.12999999999999998</x:v>
      </x:c>
      <x:c r="T213" s="196" t="n">
        <x:f t="shared" si="11">IFERROR(L213/Q213,0)</x:f>
        <x:v>0.9824459521420434</x:v>
      </x:c>
    </x:row>
    <x:row r="214">
      <x:c r="A214" s="192" t="str">
        <x:f>'Raw Data'!A214</x:f>
        <x:v>ZOM-0210</x:v>
      </x:c>
      <x:c r="B214" s="193" t="n">
        <x:f>'Raw Data'!B214</x:f>
        <x:v>45867</x:v>
      </x:c>
      <x:c r="C214" s="236" t="str">
        <x:f>'Raw Data'!C214</x:f>
        <x:v>East</x:v>
      </x:c>
      <x:c r="D214" s="192" t="str">
        <x:f>'Raw Data'!D214</x:f>
        <x:v>Patna</x:v>
      </x:c>
      <x:c r="E214" s="192" t="str">
        <x:f>'Raw Data'!E214</x:f>
        <x:v>Healthy</x:v>
      </x:c>
      <x:c r="F214" s="192" t="str">
        <x:f>'Raw Data'!F214</x:f>
        <x:v>Repeat User</x:v>
      </x:c>
      <x:c r="G214" s="192" t="str">
        <x:f>'Raw Data'!G214</x:f>
        <x:v>Repeat User Customer 20</x:v>
      </x:c>
      <x:c r="H214" s="192" t="n">
        <x:f>'Raw Data'!H214</x:f>
        <x:v>115</x:v>
      </x:c>
      <x:c r="I214" s="195" t="n">
        <x:f>'Raw Data'!I214</x:f>
        <x:v>333</x:v>
      </x:c>
      <x:c r="J214" s="196" t="n">
        <x:f>'Raw Data'!J214</x:f>
        <x:v>0.060000000000000005</x:v>
      </x:c>
      <x:c r="K214" s="195" t="n">
        <x:f>'Raw Data'!K214</x:f>
        <x:v>38295</x:v>
      </x:c>
      <x:c r="L214" s="195" t="n">
        <x:f>'Raw Data'!L214</x:f>
        <x:v>35997.299999999996</x:v>
      </x:c>
      <x:c r="M214" s="195" t="n">
        <x:f>'Raw Data'!M214</x:f>
        <x:v>25198.109999999997</x:v>
      </x:c>
      <x:c r="N214" s="195" t="n">
        <x:f>'Raw Data'!N214</x:f>
        <x:v>10799.189999999999</x:v>
      </x:c>
      <x:c r="O214" s="195" t="n">
        <x:f>'Raw Data'!O214</x:f>
        <x:v>4679.648999999999</x:v>
      </x:c>
      <x:c r="P214" s="195" t="n">
        <x:f>'Raw Data'!P214</x:f>
        <x:v>6119.540999999999</x:v>
      </x:c>
      <x:c r="Q214" s="195" t="n">
        <x:f>'Raw Data'!Q214</x:f>
        <x:v>39009.134980979965</x:v>
      </x:c>
      <x:c r="R214" s="196" t="n">
        <x:f t="shared" si="9">IFERROR(N214/L214,0)</x:f>
        <x:v>0.3</x:v>
      </x:c>
      <x:c r="S214" s="196" t="n">
        <x:f t="shared" si="10">IFERROR(P214/L214,0)</x:f>
        <x:v>0.17</x:v>
      </x:c>
      <x:c r="T214" s="196" t="n">
        <x:f t="shared" si="11">IFERROR(L214/Q214,0)</x:f>
        <x:v>0.9227915465839354</x:v>
      </x:c>
    </x:row>
    <x:row r="215">
      <x:c r="A215" s="192" t="str">
        <x:f>'Raw Data'!A215</x:f>
        <x:v>ZOM-0211</x:v>
      </x:c>
      <x:c r="B215" s="193" t="n">
        <x:f>'Raw Data'!B215</x:f>
        <x:v>45868</x:v>
      </x:c>
      <x:c r="C215" s="236" t="str">
        <x:f>'Raw Data'!C215</x:f>
        <x:v>East</x:v>
      </x:c>
      <x:c r="D215" s="192" t="str">
        <x:f>'Raw Data'!D215</x:f>
        <x:v>Kolkata</x:v>
      </x:c>
      <x:c r="E215" s="192" t="str">
        <x:f>'Raw Data'!E215</x:f>
        <x:v>Burgers</x:v>
      </x:c>
      <x:c r="F215" s="192" t="str">
        <x:f>'Raw Data'!F215</x:f>
        <x:v>Student</x:v>
      </x:c>
      <x:c r="G215" s="192" t="str">
        <x:f>'Raw Data'!G215</x:f>
        <x:v>Student Customer 45</x:v>
      </x:c>
      <x:c r="H215" s="192" t="n">
        <x:f>'Raw Data'!H215</x:f>
        <x:v>55</x:v>
      </x:c>
      <x:c r="I215" s="195" t="n">
        <x:f>'Raw Data'!I215</x:f>
        <x:v>353</x:v>
      </x:c>
      <x:c r="J215" s="196" t="n">
        <x:f>'Raw Data'!J215</x:f>
        <x:v>0.13</x:v>
      </x:c>
      <x:c r="K215" s="195" t="n">
        <x:f>'Raw Data'!K215</x:f>
        <x:v>19415</x:v>
      </x:c>
      <x:c r="L215" s="195" t="n">
        <x:f>'Raw Data'!L215</x:f>
        <x:v>16891.05</x:v>
      </x:c>
      <x:c r="M215" s="195" t="n">
        <x:f>'Raw Data'!M215</x:f>
        <x:v>12499.376999999999</x:v>
      </x:c>
      <x:c r="N215" s="195" t="n">
        <x:f>'Raw Data'!N215</x:f>
        <x:v>4391.673000000001</x:v>
      </x:c>
      <x:c r="O215" s="195" t="n">
        <x:f>'Raw Data'!O215</x:f>
        <x:v>2195.8365</x:v>
      </x:c>
      <x:c r="P215" s="195" t="n">
        <x:f>'Raw Data'!P215</x:f>
        <x:v>2195.836500000001</x:v>
      </x:c>
      <x:c r="Q215" s="195" t="n">
        <x:f>'Raw Data'!Q215</x:f>
        <x:v>18181.69122979369</x:v>
      </x:c>
      <x:c r="R215" s="196" t="n">
        <x:f t="shared" si="9">IFERROR(N215/L215,0)</x:f>
        <x:v>0.26000000000000006</x:v>
      </x:c>
      <x:c r="S215" s="196" t="n">
        <x:f t="shared" si="10">IFERROR(P215/L215,0)</x:f>
        <x:v>0.13000000000000006</x:v>
      </x:c>
      <x:c r="T215" s="196" t="n">
        <x:f t="shared" si="11">IFERROR(L215/Q215,0)</x:f>
        <x:v>0.9290142367130972</x:v>
      </x:c>
    </x:row>
    <x:row r="216">
      <x:c r="A216" s="192" t="str">
        <x:f>'Raw Data'!A216</x:f>
        <x:v>ZOM-0212</x:v>
      </x:c>
      <x:c r="B216" s="193" t="n">
        <x:f>'Raw Data'!B216</x:f>
        <x:v>45869</x:v>
      </x:c>
      <x:c r="C216" s="236" t="str">
        <x:f>'Raw Data'!C216</x:f>
        <x:v>North</x:v>
      </x:c>
      <x:c r="D216" s="192" t="str">
        <x:f>'Raw Data'!D216</x:f>
        <x:v>Jaipur</x:v>
      </x:c>
      <x:c r="E216" s="192" t="str">
        <x:f>'Raw Data'!E216</x:f>
        <x:v>Healthy</x:v>
      </x:c>
      <x:c r="F216" s="192" t="str">
        <x:f>'Raw Data'!F216</x:f>
        <x:v>Corporate</x:v>
      </x:c>
      <x:c r="G216" s="192" t="str">
        <x:f>'Raw Data'!G216</x:f>
        <x:v>Corporate Customer 58</x:v>
      </x:c>
      <x:c r="H216" s="192" t="n">
        <x:f>'Raw Data'!H216</x:f>
        <x:v>137</x:v>
      </x:c>
      <x:c r="I216" s="195" t="n">
        <x:f>'Raw Data'!I216</x:f>
        <x:v>415</x:v>
      </x:c>
      <x:c r="J216" s="196" t="n">
        <x:f>'Raw Data'!J216</x:f>
        <x:v>0</x:v>
      </x:c>
      <x:c r="K216" s="195" t="n">
        <x:f>'Raw Data'!K216</x:f>
        <x:v>56855</x:v>
      </x:c>
      <x:c r="L216" s="195" t="n">
        <x:f>'Raw Data'!L216</x:f>
        <x:v>56855</x:v>
      </x:c>
      <x:c r="M216" s="195" t="n">
        <x:f>'Raw Data'!M216</x:f>
        <x:v>39798.5</x:v>
      </x:c>
      <x:c r="N216" s="195" t="n">
        <x:f>'Raw Data'!N216</x:f>
        <x:v>17056.5</x:v>
      </x:c>
      <x:c r="O216" s="195" t="n">
        <x:f>'Raw Data'!O216</x:f>
        <x:v>7391.150000000001</x:v>
      </x:c>
      <x:c r="P216" s="195" t="n">
        <x:f>'Raw Data'!P216</x:f>
        <x:v>9665.349999999999</x:v>
      </x:c>
      <x:c r="Q216" s="195" t="n">
        <x:f>'Raw Data'!Q216</x:f>
        <x:v>58422.6049031214</x:v>
      </x:c>
      <x:c r="R216" s="196" t="n">
        <x:f t="shared" si="9">IFERROR(N216/L216,0)</x:f>
        <x:v>0.3</x:v>
      </x:c>
      <x:c r="S216" s="196" t="n">
        <x:f t="shared" si="10">IFERROR(P216/L216,0)</x:f>
        <x:v>0.16999999999999998</x:v>
      </x:c>
      <x:c r="T216" s="196" t="n">
        <x:f t="shared" si="11">IFERROR(L216/Q216,0)</x:f>
        <x:v>0.9731678362215984</x:v>
      </x:c>
    </x:row>
    <x:row r="217">
      <x:c r="A217" s="192" t="str">
        <x:f>'Raw Data'!A217</x:f>
        <x:v>ZOM-0213</x:v>
      </x:c>
      <x:c r="B217" s="193" t="n">
        <x:f>'Raw Data'!B217</x:f>
        <x:v>45870</x:v>
      </x:c>
      <x:c r="C217" s="236" t="str">
        <x:f>'Raw Data'!C217</x:f>
        <x:v>Metro</x:v>
      </x:c>
      <x:c r="D217" s="192" t="str">
        <x:f>'Raw Data'!D217</x:f>
        <x:v>Pune</x:v>
      </x:c>
      <x:c r="E217" s="192" t="str">
        <x:f>'Raw Data'!E217</x:f>
        <x:v>South Indian</x:v>
      </x:c>
      <x:c r="F217" s="192" t="str">
        <x:f>'Raw Data'!F217</x:f>
        <x:v>New User</x:v>
      </x:c>
      <x:c r="G217" s="192" t="str">
        <x:f>'Raw Data'!G217</x:f>
        <x:v>New User Customer 60</x:v>
      </x:c>
      <x:c r="H217" s="192" t="n">
        <x:f>'Raw Data'!H217</x:f>
        <x:v>85</x:v>
      </x:c>
      <x:c r="I217" s="195" t="n">
        <x:f>'Raw Data'!I217</x:f>
        <x:v>401</x:v>
      </x:c>
      <x:c r="J217" s="196" t="n">
        <x:f>'Raw Data'!J217</x:f>
        <x:v>0.08</x:v>
      </x:c>
      <x:c r="K217" s="195" t="n">
        <x:f>'Raw Data'!K217</x:f>
        <x:v>34085</x:v>
      </x:c>
      <x:c r="L217" s="195" t="n">
        <x:f>'Raw Data'!L217</x:f>
        <x:v>31358.2</x:v>
      </x:c>
      <x:c r="M217" s="195" t="n">
        <x:f>'Raw Data'!M217</x:f>
        <x:v>23205.068</x:v>
      </x:c>
      <x:c r="N217" s="195" t="n">
        <x:f>'Raw Data'!N217</x:f>
        <x:v>8153.132000000001</x:v>
      </x:c>
      <x:c r="O217" s="195" t="n">
        <x:f>'Raw Data'!O217</x:f>
        <x:v>4076.5660000000003</x:v>
      </x:c>
      <x:c r="P217" s="195" t="n">
        <x:f>'Raw Data'!P217</x:f>
        <x:v>4076.566000000001</x:v>
      </x:c>
      <x:c r="Q217" s="195" t="n">
        <x:f>'Raw Data'!Q217</x:f>
        <x:v>31482.008872289032</x:v>
      </x:c>
      <x:c r="R217" s="196" t="n">
        <x:f t="shared" si="9">IFERROR(N217/L217,0)</x:f>
        <x:v>0.26000000000000006</x:v>
      </x:c>
      <x:c r="S217" s="196" t="n">
        <x:f t="shared" si="10">IFERROR(P217/L217,0)</x:f>
        <x:v>0.13000000000000003</x:v>
      </x:c>
      <x:c r="T217" s="196" t="n">
        <x:f t="shared" si="11">IFERROR(L217/Q217,0)</x:f>
        <x:v>0.9960673134681056</x:v>
      </x:c>
    </x:row>
    <x:row r="218">
      <x:c r="A218" s="192" t="str">
        <x:f>'Raw Data'!A218</x:f>
        <x:v>ZOM-0214</x:v>
      </x:c>
      <x:c r="B218" s="193" t="n">
        <x:f>'Raw Data'!B218</x:f>
        <x:v>45871</x:v>
      </x:c>
      <x:c r="C218" s="236" t="str">
        <x:f>'Raw Data'!C218</x:f>
        <x:v>Metro</x:v>
      </x:c>
      <x:c r="D218" s="192" t="str">
        <x:f>'Raw Data'!D218</x:f>
        <x:v>Delhi</x:v>
      </x:c>
      <x:c r="E218" s="192" t="str">
        <x:f>'Raw Data'!E218</x:f>
        <x:v>Snacks</x:v>
      </x:c>
      <x:c r="F218" s="192" t="str">
        <x:f>'Raw Data'!F218</x:f>
        <x:v>Corporate</x:v>
      </x:c>
      <x:c r="G218" s="192" t="str">
        <x:f>'Raw Data'!G218</x:f>
        <x:v>Corporate Customer 25</x:v>
      </x:c>
      <x:c r="H218" s="192" t="n">
        <x:f>'Raw Data'!H218</x:f>
        <x:v>157</x:v>
      </x:c>
      <x:c r="I218" s="195" t="n">
        <x:f>'Raw Data'!I218</x:f>
        <x:v>293</x:v>
      </x:c>
      <x:c r="J218" s="196" t="n">
        <x:f>'Raw Data'!J218</x:f>
        <x:v>0.02</x:v>
      </x:c>
      <x:c r="K218" s="195" t="n">
        <x:f>'Raw Data'!K218</x:f>
        <x:v>46001</x:v>
      </x:c>
      <x:c r="L218" s="195" t="n">
        <x:f>'Raw Data'!L218</x:f>
        <x:v>45080.979999999996</x:v>
      </x:c>
      <x:c r="M218" s="195" t="n">
        <x:f>'Raw Data'!M218</x:f>
        <x:v>33359.9252</x:v>
      </x:c>
      <x:c r="N218" s="195" t="n">
        <x:f>'Raw Data'!N218</x:f>
        <x:v>11721.054799999998</x:v>
      </x:c>
      <x:c r="O218" s="195" t="n">
        <x:f>'Raw Data'!O218</x:f>
        <x:v>5860.5274</x:v>
      </x:c>
      <x:c r="P218" s="195" t="n">
        <x:f>'Raw Data'!P218</x:f>
        <x:v>5860.527399999998</x:v>
      </x:c>
      <x:c r="Q218" s="195" t="n">
        <x:f>'Raw Data'!Q218</x:f>
        <x:v>49596.203824778204</x:v>
      </x:c>
      <x:c r="R218" s="196" t="n">
        <x:f t="shared" si="9">IFERROR(N218/L218,0)</x:f>
        <x:v>0.25999999999999995</x:v>
      </x:c>
      <x:c r="S218" s="196" t="n">
        <x:f t="shared" si="10">IFERROR(P218/L218,0)</x:f>
        <x:v>0.12999999999999998</x:v>
      </x:c>
      <x:c r="T218" s="196" t="n">
        <x:f t="shared" si="11">IFERROR(L218/Q218,0)</x:f>
        <x:v>0.9089602938013089</x:v>
      </x:c>
    </x:row>
    <x:row r="219">
      <x:c r="A219" s="192" t="str">
        <x:f>'Raw Data'!A219</x:f>
        <x:v>ZOM-0215</x:v>
      </x:c>
      <x:c r="B219" s="193" t="n">
        <x:f>'Raw Data'!B219</x:f>
        <x:v>45872</x:v>
      </x:c>
      <x:c r="C219" s="236" t="str">
        <x:f>'Raw Data'!C219</x:f>
        <x:v>East</x:v>
      </x:c>
      <x:c r="D219" s="192" t="str">
        <x:f>'Raw Data'!D219</x:f>
        <x:v>Guwahati</x:v>
      </x:c>
      <x:c r="E219" s="192" t="str">
        <x:f>'Raw Data'!E219</x:f>
        <x:v>Pizza</x:v>
      </x:c>
      <x:c r="F219" s="192" t="str">
        <x:f>'Raw Data'!F219</x:f>
        <x:v>Budget</x:v>
      </x:c>
      <x:c r="G219" s="192" t="str">
        <x:f>'Raw Data'!G219</x:f>
        <x:v>Budget Customer 28</x:v>
      </x:c>
      <x:c r="H219" s="192" t="n">
        <x:f>'Raw Data'!H219</x:f>
        <x:v>64</x:v>
      </x:c>
      <x:c r="I219" s="195" t="n">
        <x:f>'Raw Data'!I219</x:f>
        <x:v>719</x:v>
      </x:c>
      <x:c r="J219" s="196" t="n">
        <x:f>'Raw Data'!J219</x:f>
        <x:v>0.08</x:v>
      </x:c>
      <x:c r="K219" s="195" t="n">
        <x:f>'Raw Data'!K219</x:f>
        <x:v>46016</x:v>
      </x:c>
      <x:c r="L219" s="195" t="n">
        <x:f>'Raw Data'!L219</x:f>
        <x:v>42334.72</x:v>
      </x:c>
      <x:c r="M219" s="195" t="n">
        <x:f>'Raw Data'!M219</x:f>
        <x:v>31327.6928</x:v>
      </x:c>
      <x:c r="N219" s="195" t="n">
        <x:f>'Raw Data'!N219</x:f>
        <x:v>11007.0272</x:v>
      </x:c>
      <x:c r="O219" s="195" t="n">
        <x:f>'Raw Data'!O219</x:f>
        <x:v>5503.5136</x:v>
      </x:c>
      <x:c r="P219" s="195" t="n">
        <x:f>'Raw Data'!P219</x:f>
        <x:v>5503.5136</x:v>
      </x:c>
      <x:c r="Q219" s="195" t="n">
        <x:f>'Raw Data'!Q219</x:f>
        <x:v>42607.50680937904</x:v>
      </x:c>
      <x:c r="R219" s="196" t="n">
        <x:f t="shared" si="9">IFERROR(N219/L219,0)</x:f>
        <x:v>0.26</x:v>
      </x:c>
      <x:c r="S219" s="196" t="n">
        <x:f t="shared" si="10">IFERROR(P219/L219,0)</x:f>
        <x:v>0.13</x:v>
      </x:c>
      <x:c r="T219" s="196" t="n">
        <x:f t="shared" si="11">IFERROR(L219/Q219,0)</x:f>
        <x:v>0.9935976819624895</x:v>
      </x:c>
    </x:row>
    <x:row r="220">
      <x:c r="A220" s="192" t="str">
        <x:f>'Raw Data'!A220</x:f>
        <x:v>ZOM-0216</x:v>
      </x:c>
      <x:c r="B220" s="193" t="n">
        <x:f>'Raw Data'!B220</x:f>
        <x:v>45873</x:v>
      </x:c>
      <x:c r="C220" s="236" t="str">
        <x:f>'Raw Data'!C220</x:f>
        <x:v>South</x:v>
      </x:c>
      <x:c r="D220" s="192" t="str">
        <x:f>'Raw Data'!D220</x:f>
        <x:v>Bengaluru</x:v>
      </x:c>
      <x:c r="E220" s="192" t="str">
        <x:f>'Raw Data'!E220</x:f>
        <x:v>Pizza</x:v>
      </x:c>
      <x:c r="F220" s="192" t="str">
        <x:f>'Raw Data'!F220</x:f>
        <x:v>Budget</x:v>
      </x:c>
      <x:c r="G220" s="192" t="str">
        <x:f>'Raw Data'!G220</x:f>
        <x:v>Budget Customer 32</x:v>
      </x:c>
      <x:c r="H220" s="192" t="n">
        <x:f>'Raw Data'!H220</x:f>
        <x:v>126</x:v>
      </x:c>
      <x:c r="I220" s="195" t="n">
        <x:f>'Raw Data'!I220</x:f>
        <x:v>614</x:v>
      </x:c>
      <x:c r="J220" s="196" t="n">
        <x:f>'Raw Data'!J220</x:f>
        <x:v>0.1</x:v>
      </x:c>
      <x:c r="K220" s="195" t="n">
        <x:f>'Raw Data'!K220</x:f>
        <x:v>77364</x:v>
      </x:c>
      <x:c r="L220" s="195" t="n">
        <x:f>'Raw Data'!L220</x:f>
        <x:v>69627.6</x:v>
      </x:c>
      <x:c r="M220" s="195" t="n">
        <x:f>'Raw Data'!M220</x:f>
        <x:v>51524.424000000006</x:v>
      </x:c>
      <x:c r="N220" s="195" t="n">
        <x:f>'Raw Data'!N220</x:f>
        <x:v>18103.176</x:v>
      </x:c>
      <x:c r="O220" s="195" t="n">
        <x:f>'Raw Data'!O220</x:f>
        <x:v>9051.588000000002</x:v>
      </x:c>
      <x:c r="P220" s="195" t="n">
        <x:f>'Raw Data'!P220</x:f>
        <x:v>9051.587999999998</x:v>
      </x:c>
      <x:c r="Q220" s="195" t="n">
        <x:f>'Raw Data'!Q220</x:f>
        <x:v>77920.9647012505</x:v>
      </x:c>
      <x:c r="R220" s="196" t="n">
        <x:f t="shared" si="9">IFERROR(N220/L220,0)</x:f>
        <x:v>0.25999999999999995</x:v>
      </x:c>
      <x:c r="S220" s="196" t="n">
        <x:f t="shared" si="10">IFERROR(P220/L220,0)</x:f>
        <x:v>0.12999999999999995</x:v>
      </x:c>
      <x:c r="T220" s="196" t="n">
        <x:f t="shared" si="11">IFERROR(L220/Q220,0)</x:f>
        <x:v>0.8935669657960819</x:v>
      </x:c>
    </x:row>
    <x:row r="221">
      <x:c r="A221" s="192" t="str">
        <x:f>'Raw Data'!A221</x:f>
        <x:v>ZOM-0217</x:v>
      </x:c>
      <x:c r="B221" s="193" t="n">
        <x:f>'Raw Data'!B221</x:f>
        <x:v>45874</x:v>
      </x:c>
      <x:c r="C221" s="236" t="str">
        <x:f>'Raw Data'!C221</x:f>
        <x:v>South</x:v>
      </x:c>
      <x:c r="D221" s="192" t="str">
        <x:f>'Raw Data'!D221</x:f>
        <x:v>Coimbatore</x:v>
      </x:c>
      <x:c r="E221" s="192" t="str">
        <x:f>'Raw Data'!E221</x:f>
        <x:v>Beverages</x:v>
      </x:c>
      <x:c r="F221" s="192" t="str">
        <x:f>'Raw Data'!F221</x:f>
        <x:v>Gold User</x:v>
      </x:c>
      <x:c r="G221" s="192" t="str">
        <x:f>'Raw Data'!G221</x:f>
        <x:v>Gold User Customer 05</x:v>
      </x:c>
      <x:c r="H221" s="192" t="n">
        <x:f>'Raw Data'!H221</x:f>
        <x:v>170</x:v>
      </x:c>
      <x:c r="I221" s="195" t="n">
        <x:f>'Raw Data'!I221</x:f>
        <x:v>243</x:v>
      </x:c>
      <x:c r="J221" s="196" t="n">
        <x:f>'Raw Data'!J221</x:f>
        <x:v>0.009999999999999998</x:v>
      </x:c>
      <x:c r="K221" s="195" t="n">
        <x:f>'Raw Data'!K221</x:f>
        <x:v>41310</x:v>
      </x:c>
      <x:c r="L221" s="195" t="n">
        <x:f>'Raw Data'!L221</x:f>
        <x:v>40896.9</x:v>
      </x:c>
      <x:c r="M221" s="195" t="n">
        <x:f>'Raw Data'!M221</x:f>
        <x:v>27809.892</x:v>
      </x:c>
      <x:c r="N221" s="195" t="n">
        <x:f>'Raw Data'!N221</x:f>
        <x:v>13087.008000000002</x:v>
      </x:c>
      <x:c r="O221" s="195" t="n">
        <x:f>'Raw Data'!O221</x:f>
        <x:v>5316.597000000001</x:v>
      </x:c>
      <x:c r="P221" s="195" t="n">
        <x:f>'Raw Data'!P221</x:f>
        <x:v>7770.411000000001</x:v>
      </x:c>
      <x:c r="Q221" s="195" t="n">
        <x:f>'Raw Data'!Q221</x:f>
        <x:v>42106.38384733561</x:v>
      </x:c>
      <x:c r="R221" s="196" t="n">
        <x:f t="shared" si="9">IFERROR(N221/L221,0)</x:f>
        <x:v>0.32</x:v>
      </x:c>
      <x:c r="S221" s="196" t="n">
        <x:f t="shared" si="10">IFERROR(P221/L221,0)</x:f>
        <x:v>0.19000000000000003</x:v>
      </x:c>
      <x:c r="T221" s="196" t="n">
        <x:f t="shared" si="11">IFERROR(L221/Q221,0)</x:f>
        <x:v>0.971275523167204</x:v>
      </x:c>
    </x:row>
    <x:row r="222">
      <x:c r="A222" s="192" t="str">
        <x:f>'Raw Data'!A222</x:f>
        <x:v>ZOM-0218</x:v>
      </x:c>
      <x:c r="B222" s="193" t="n">
        <x:f>'Raw Data'!B222</x:f>
        <x:v>45875</x:v>
      </x:c>
      <x:c r="C222" s="236" t="str">
        <x:f>'Raw Data'!C222</x:f>
        <x:v>North</x:v>
      </x:c>
      <x:c r="D222" s="192" t="str">
        <x:f>'Raw Data'!D222</x:f>
        <x:v>Noida</x:v>
      </x:c>
      <x:c r="E222" s="192" t="str">
        <x:f>'Raw Data'!E222</x:f>
        <x:v>Pizza</x:v>
      </x:c>
      <x:c r="F222" s="192" t="str">
        <x:f>'Raw Data'!F222</x:f>
        <x:v>Budget</x:v>
      </x:c>
      <x:c r="G222" s="192" t="str">
        <x:f>'Raw Data'!G222</x:f>
        <x:v>Budget Customer 29</x:v>
      </x:c>
      <x:c r="H222" s="192" t="n">
        <x:f>'Raw Data'!H222</x:f>
        <x:v>72</x:v>
      </x:c>
      <x:c r="I222" s="195" t="n">
        <x:f>'Raw Data'!I222</x:f>
        <x:v>706</x:v>
      </x:c>
      <x:c r="J222" s="196" t="n">
        <x:f>'Raw Data'!J222</x:f>
        <x:v>0.1</x:v>
      </x:c>
      <x:c r="K222" s="195" t="n">
        <x:f>'Raw Data'!K222</x:f>
        <x:v>50832</x:v>
      </x:c>
      <x:c r="L222" s="195" t="n">
        <x:f>'Raw Data'!L222</x:f>
        <x:v>45748.8</x:v>
      </x:c>
      <x:c r="M222" s="195" t="n">
        <x:f>'Raw Data'!M222</x:f>
        <x:v>33854.112</x:v>
      </x:c>
      <x:c r="N222" s="195" t="n">
        <x:f>'Raw Data'!N222</x:f>
        <x:v>11894.688000000002</x:v>
      </x:c>
      <x:c r="O222" s="195" t="n">
        <x:f>'Raw Data'!O222</x:f>
        <x:v>5947.344000000001</x:v>
      </x:c>
      <x:c r="P222" s="195" t="n">
        <x:f>'Raw Data'!P222</x:f>
        <x:v>5947.344000000001</x:v>
      </x:c>
      <x:c r="Q222" s="195" t="n">
        <x:f>'Raw Data'!Q222</x:f>
        <x:v>50925.51586183733</x:v>
      </x:c>
      <x:c r="R222" s="196" t="n">
        <x:f t="shared" si="9">IFERROR(N222/L222,0)</x:f>
        <x:v>0.26</x:v>
      </x:c>
      <x:c r="S222" s="196" t="n">
        <x:f t="shared" si="10">IFERROR(P222/L222,0)</x:f>
        <x:v>0.13</x:v>
      </x:c>
      <x:c r="T222" s="196" t="n">
        <x:f t="shared" si="11">IFERROR(L222/Q222,0)</x:f>
        <x:v>0.8983473063703088</x:v>
      </x:c>
    </x:row>
    <x:row r="223">
      <x:c r="A223" s="192" t="str">
        <x:f>'Raw Data'!A223</x:f>
        <x:v>ZOM-0219</x:v>
      </x:c>
      <x:c r="B223" s="193" t="n">
        <x:f>'Raw Data'!B223</x:f>
        <x:v>45876</x:v>
      </x:c>
      <x:c r="C223" s="236" t="str">
        <x:f>'Raw Data'!C223</x:f>
        <x:v>South</x:v>
      </x:c>
      <x:c r="D223" s="192" t="str">
        <x:f>'Raw Data'!D223</x:f>
        <x:v>Chennai</x:v>
      </x:c>
      <x:c r="E223" s="192" t="str">
        <x:f>'Raw Data'!E223</x:f>
        <x:v>North Indian</x:v>
      </x:c>
      <x:c r="F223" s="192" t="str">
        <x:f>'Raw Data'!F223</x:f>
        <x:v>New User</x:v>
      </x:c>
      <x:c r="G223" s="192" t="str">
        <x:f>'Raw Data'!G223</x:f>
        <x:v>New User Customer 39</x:v>
      </x:c>
      <x:c r="H223" s="192" t="n">
        <x:f>'Raw Data'!H223</x:f>
        <x:v>125</x:v>
      </x:c>
      <x:c r="I223" s="195" t="n">
        <x:f>'Raw Data'!I223</x:f>
        <x:v>527</x:v>
      </x:c>
      <x:c r="J223" s="196" t="n">
        <x:f>'Raw Data'!J223</x:f>
        <x:v>0.09</x:v>
      </x:c>
      <x:c r="K223" s="195" t="n">
        <x:f>'Raw Data'!K223</x:f>
        <x:v>65875</x:v>
      </x:c>
      <x:c r="L223" s="195" t="n">
        <x:f>'Raw Data'!L223</x:f>
        <x:v>59946.25</x:v>
      </x:c>
      <x:c r="M223" s="195" t="n">
        <x:f>'Raw Data'!M223</x:f>
        <x:v>43760.7625</x:v>
      </x:c>
      <x:c r="N223" s="195" t="n">
        <x:f>'Raw Data'!N223</x:f>
        <x:v>16185.487500000003</x:v>
      </x:c>
      <x:c r="O223" s="195" t="n">
        <x:f>'Raw Data'!O223</x:f>
        <x:v>7793.0125</x:v>
      </x:c>
      <x:c r="P223" s="195" t="n">
        <x:f>'Raw Data'!P223</x:f>
        <x:v>8392.475000000002</x:v>
      </x:c>
      <x:c r="Q223" s="195" t="n">
        <x:f>'Raw Data'!Q223</x:f>
        <x:v>63933.05788111771</x:v>
      </x:c>
      <x:c r="R223" s="196" t="n">
        <x:f t="shared" si="9">IFERROR(N223/L223,0)</x:f>
        <x:v>0.2700000000000001</x:v>
      </x:c>
      <x:c r="S223" s="196" t="n">
        <x:f t="shared" si="10">IFERROR(P223/L223,0)</x:f>
        <x:v>0.14000000000000004</x:v>
      </x:c>
      <x:c r="T223" s="196" t="n">
        <x:f t="shared" si="11">IFERROR(L223/Q223,0)</x:f>
        <x:v>0.9376409010729456</x:v>
      </x:c>
    </x:row>
    <x:row r="224">
      <x:c r="A224" s="192" t="str">
        <x:f>'Raw Data'!A224</x:f>
        <x:v>ZOM-0220</x:v>
      </x:c>
      <x:c r="B224" s="193" t="n">
        <x:f>'Raw Data'!B224</x:f>
        <x:v>45877</x:v>
      </x:c>
      <x:c r="C224" s="236" t="str">
        <x:f>'Raw Data'!C224</x:f>
        <x:v>West</x:v>
      </x:c>
      <x:c r="D224" s="192" t="str">
        <x:f>'Raw Data'!D224</x:f>
        <x:v>Ahmedabad</x:v>
      </x:c>
      <x:c r="E224" s="192" t="str">
        <x:f>'Raw Data'!E224</x:f>
        <x:v>Healthy</x:v>
      </x:c>
      <x:c r="F224" s="192" t="str">
        <x:f>'Raw Data'!F224</x:f>
        <x:v>New User</x:v>
      </x:c>
      <x:c r="G224" s="192" t="str">
        <x:f>'Raw Data'!G224</x:f>
        <x:v>New User Customer 16</x:v>
      </x:c>
      <x:c r="H224" s="192" t="n">
        <x:f>'Raw Data'!H224</x:f>
        <x:v>127</x:v>
      </x:c>
      <x:c r="I224" s="195" t="n">
        <x:f>'Raw Data'!I224</x:f>
        <x:v>385</x:v>
      </x:c>
      <x:c r="J224" s="196" t="n">
        <x:f>'Raw Data'!J224</x:f>
        <x:v>0.06</x:v>
      </x:c>
      <x:c r="K224" s="195" t="n">
        <x:f>'Raw Data'!K224</x:f>
        <x:v>48895</x:v>
      </x:c>
      <x:c r="L224" s="195" t="n">
        <x:f>'Raw Data'!L224</x:f>
        <x:v>45961.299999999996</x:v>
      </x:c>
      <x:c r="M224" s="195" t="n">
        <x:f>'Raw Data'!M224</x:f>
        <x:v>32172.909999999996</x:v>
      </x:c>
      <x:c r="N224" s="195" t="n">
        <x:f>'Raw Data'!N224</x:f>
        <x:v>13788.39</x:v>
      </x:c>
      <x:c r="O224" s="195" t="n">
        <x:f>'Raw Data'!O224</x:f>
        <x:v>5974.969</x:v>
      </x:c>
      <x:c r="P224" s="195" t="n">
        <x:f>'Raw Data'!P224</x:f>
        <x:v>7813.420999999999</x:v>
      </x:c>
      <x:c r="Q224" s="195" t="n">
        <x:f>'Raw Data'!Q224</x:f>
        <x:v>51436.56046565748</x:v>
      </x:c>
      <x:c r="R224" s="196" t="n">
        <x:f t="shared" si="9">IFERROR(N224/L224,0)</x:f>
        <x:v>0.3</x:v>
      </x:c>
      <x:c r="S224" s="196" t="n">
        <x:f t="shared" si="10">IFERROR(P224/L224,0)</x:f>
        <x:v>0.17</x:v>
      </x:c>
      <x:c r="T224" s="196" t="n">
        <x:f t="shared" si="11">IFERROR(L224/Q224,0)</x:f>
        <x:v>0.8935531377664115</x:v>
      </x:c>
    </x:row>
    <x:row r="225">
      <x:c r="A225" s="192" t="str">
        <x:f>'Raw Data'!A225</x:f>
        <x:v>ZOM-0221</x:v>
      </x:c>
      <x:c r="B225" s="193" t="n">
        <x:f>'Raw Data'!B225</x:f>
        <x:v>45878</x:v>
      </x:c>
      <x:c r="C225" s="236" t="str">
        <x:f>'Raw Data'!C225</x:f>
        <x:v>West</x:v>
      </x:c>
      <x:c r="D225" s="192" t="str">
        <x:f>'Raw Data'!D225</x:f>
        <x:v>Pune</x:v>
      </x:c>
      <x:c r="E225" s="192" t="str">
        <x:f>'Raw Data'!E225</x:f>
        <x:v>Burgers</x:v>
      </x:c>
      <x:c r="F225" s="192" t="str">
        <x:f>'Raw Data'!F225</x:f>
        <x:v>New User</x:v>
      </x:c>
      <x:c r="G225" s="192" t="str">
        <x:f>'Raw Data'!G225</x:f>
        <x:v>New User Customer 20</x:v>
      </x:c>
      <x:c r="H225" s="192" t="n">
        <x:f>'Raw Data'!H225</x:f>
        <x:v>108</x:v>
      </x:c>
      <x:c r="I225" s="195" t="n">
        <x:f>'Raw Data'!I225</x:f>
        <x:v>389</x:v>
      </x:c>
      <x:c r="J225" s="196" t="n">
        <x:f>'Raw Data'!J225</x:f>
        <x:v>0.09</x:v>
      </x:c>
      <x:c r="K225" s="195" t="n">
        <x:f>'Raw Data'!K225</x:f>
        <x:v>42012</x:v>
      </x:c>
      <x:c r="L225" s="195" t="n">
        <x:f>'Raw Data'!L225</x:f>
        <x:v>38230.92</x:v>
      </x:c>
      <x:c r="M225" s="195" t="n">
        <x:f>'Raw Data'!M225</x:f>
        <x:v>28290.8808</x:v>
      </x:c>
      <x:c r="N225" s="195" t="n">
        <x:f>'Raw Data'!N225</x:f>
        <x:v>9940.0392</x:v>
      </x:c>
      <x:c r="O225" s="195" t="n">
        <x:f>'Raw Data'!O225</x:f>
        <x:v>4970.0196</x:v>
      </x:c>
      <x:c r="P225" s="195" t="n">
        <x:f>'Raw Data'!P225</x:f>
        <x:v>4970.0196</x:v>
      </x:c>
      <x:c r="Q225" s="195" t="n">
        <x:f>'Raw Data'!Q225</x:f>
        <x:v>39496.95314835381</x:v>
      </x:c>
      <x:c r="R225" s="196" t="n">
        <x:f t="shared" si="9">IFERROR(N225/L225,0)</x:f>
        <x:v>0.26</x:v>
      </x:c>
      <x:c r="S225" s="196" t="n">
        <x:f t="shared" si="10">IFERROR(P225/L225,0)</x:f>
        <x:v>0.13</x:v>
      </x:c>
      <x:c r="T225" s="196" t="n">
        <x:f t="shared" si="11">IFERROR(L225/Q225,0)</x:f>
        <x:v>0.9679460553932228</x:v>
      </x:c>
    </x:row>
    <x:row r="226">
      <x:c r="A226" s="192" t="str">
        <x:f>'Raw Data'!A226</x:f>
        <x:v>ZOM-0222</x:v>
      </x:c>
      <x:c r="B226" s="193" t="n">
        <x:f>'Raw Data'!B226</x:f>
        <x:v>45879</x:v>
      </x:c>
      <x:c r="C226" s="236" t="str">
        <x:f>'Raw Data'!C226</x:f>
        <x:v>West</x:v>
      </x:c>
      <x:c r="D226" s="192" t="str">
        <x:f>'Raw Data'!D226</x:f>
        <x:v>Mumbai</x:v>
      </x:c>
      <x:c r="E226" s="192" t="str">
        <x:f>'Raw Data'!E226</x:f>
        <x:v>Pizza</x:v>
      </x:c>
      <x:c r="F226" s="192" t="str">
        <x:f>'Raw Data'!F226</x:f>
        <x:v>Student</x:v>
      </x:c>
      <x:c r="G226" s="192" t="str">
        <x:f>'Raw Data'!G226</x:f>
        <x:v>Student Customer 26</x:v>
      </x:c>
      <x:c r="H226" s="192" t="n">
        <x:f>'Raw Data'!H226</x:f>
        <x:v>128</x:v>
      </x:c>
      <x:c r="I226" s="195" t="n">
        <x:f>'Raw Data'!I226</x:f>
        <x:v>641</x:v>
      </x:c>
      <x:c r="J226" s="196" t="n">
        <x:f>'Raw Data'!J226</x:f>
        <x:v>0.12</x:v>
      </x:c>
      <x:c r="K226" s="195" t="n">
        <x:f>'Raw Data'!K226</x:f>
        <x:v>82048</x:v>
      </x:c>
      <x:c r="L226" s="195" t="n">
        <x:f>'Raw Data'!L226</x:f>
        <x:v>72202.24</x:v>
      </x:c>
      <x:c r="M226" s="195" t="n">
        <x:f>'Raw Data'!M226</x:f>
        <x:v>53429.657600000006</x:v>
      </x:c>
      <x:c r="N226" s="195" t="n">
        <x:f>'Raw Data'!N226</x:f>
        <x:v>18772.5824</x:v>
      </x:c>
      <x:c r="O226" s="195" t="n">
        <x:f>'Raw Data'!O226</x:f>
        <x:v>9386.291200000001</x:v>
      </x:c>
      <x:c r="P226" s="195" t="n">
        <x:f>'Raw Data'!P226</x:f>
        <x:v>9386.291199999998</x:v>
      </x:c>
      <x:c r="Q226" s="195" t="n">
        <x:f>'Raw Data'!Q226</x:f>
        <x:v>72260.8743077712</x:v>
      </x:c>
      <x:c r="R226" s="196" t="n">
        <x:f t="shared" si="9">IFERROR(N226/L226,0)</x:f>
        <x:v>0.25999999999999995</x:v>
      </x:c>
      <x:c r="S226" s="196" t="n">
        <x:f t="shared" si="10">IFERROR(P226/L226,0)</x:f>
        <x:v>0.12999999999999995</x:v>
      </x:c>
      <x:c r="T226" s="196" t="n">
        <x:f t="shared" si="11">IFERROR(L226/Q226,0)</x:f>
        <x:v>0.9991885746147845</x:v>
      </x:c>
    </x:row>
    <x:row r="227">
      <x:c r="A227" s="192" t="str">
        <x:f>'Raw Data'!A227</x:f>
        <x:v>ZOM-0223</x:v>
      </x:c>
      <x:c r="B227" s="193" t="n">
        <x:f>'Raw Data'!B227</x:f>
        <x:v>45880</x:v>
      </x:c>
      <x:c r="C227" s="236" t="str">
        <x:f>'Raw Data'!C227</x:f>
        <x:v>South</x:v>
      </x:c>
      <x:c r="D227" s="192" t="str">
        <x:f>'Raw Data'!D227</x:f>
        <x:v>Coimbatore</x:v>
      </x:c>
      <x:c r="E227" s="192" t="str">
        <x:f>'Raw Data'!E227</x:f>
        <x:v>Pizza</x:v>
      </x:c>
      <x:c r="F227" s="192" t="str">
        <x:f>'Raw Data'!F227</x:f>
        <x:v>Student</x:v>
      </x:c>
      <x:c r="G227" s="192" t="str">
        <x:f>'Raw Data'!G227</x:f>
        <x:v>Student Customer 31</x:v>
      </x:c>
      <x:c r="H227" s="192" t="n">
        <x:f>'Raw Data'!H227</x:f>
        <x:v>103</x:v>
      </x:c>
      <x:c r="I227" s="195" t="n">
        <x:f>'Raw Data'!I227</x:f>
        <x:v>598</x:v>
      </x:c>
      <x:c r="J227" s="196" t="n">
        <x:f>'Raw Data'!J227</x:f>
        <x:v>0.12</x:v>
      </x:c>
      <x:c r="K227" s="195" t="n">
        <x:f>'Raw Data'!K227</x:f>
        <x:v>61594</x:v>
      </x:c>
      <x:c r="L227" s="195" t="n">
        <x:f>'Raw Data'!L227</x:f>
        <x:v>54202.72</x:v>
      </x:c>
      <x:c r="M227" s="195" t="n">
        <x:f>'Raw Data'!M227</x:f>
        <x:v>40110.0128</x:v>
      </x:c>
      <x:c r="N227" s="195" t="n">
        <x:f>'Raw Data'!N227</x:f>
        <x:v>14092.707200000004</x:v>
      </x:c>
      <x:c r="O227" s="195" t="n">
        <x:f>'Raw Data'!O227</x:f>
        <x:v>7046.3536</x:v>
      </x:c>
      <x:c r="P227" s="195" t="n">
        <x:f>'Raw Data'!P227</x:f>
        <x:v>7046.353600000004</x:v>
      </x:c>
      <x:c r="Q227" s="195" t="n">
        <x:f>'Raw Data'!Q227</x:f>
        <x:v>58725.12803347958</x:v>
      </x:c>
      <x:c r="R227" s="196" t="n">
        <x:f t="shared" si="9">IFERROR(N227/L227,0)</x:f>
        <x:v>0.26000000000000006</x:v>
      </x:c>
      <x:c r="S227" s="196" t="n">
        <x:f t="shared" si="10">IFERROR(P227/L227,0)</x:f>
        <x:v>0.13000000000000006</x:v>
      </x:c>
      <x:c r="T227" s="196" t="n">
        <x:f t="shared" si="11">IFERROR(L227/Q227,0)</x:f>
        <x:v>0.9229902396994124</x:v>
      </x:c>
    </x:row>
    <x:row r="228">
      <x:c r="A228" s="192" t="str">
        <x:f>'Raw Data'!A228</x:f>
        <x:v>ZOM-0224</x:v>
      </x:c>
      <x:c r="B228" s="193" t="n">
        <x:f>'Raw Data'!B228</x:f>
        <x:v>45881</x:v>
      </x:c>
      <x:c r="C228" s="236" t="str">
        <x:f>'Raw Data'!C228</x:f>
        <x:v>South</x:v>
      </x:c>
      <x:c r="D228" s="192" t="str">
        <x:f>'Raw Data'!D228</x:f>
        <x:v>Kochi</x:v>
      </x:c>
      <x:c r="E228" s="192" t="str">
        <x:f>'Raw Data'!E228</x:f>
        <x:v>Snacks</x:v>
      </x:c>
      <x:c r="F228" s="192" t="str">
        <x:f>'Raw Data'!F228</x:f>
        <x:v>Repeat User</x:v>
      </x:c>
      <x:c r="G228" s="192" t="str">
        <x:f>'Raw Data'!G228</x:f>
        <x:v>Repeat User Customer 24</x:v>
      </x:c>
      <x:c r="H228" s="192" t="n">
        <x:f>'Raw Data'!H228</x:f>
        <x:v>140</x:v>
      </x:c>
      <x:c r="I228" s="195" t="n">
        <x:f>'Raw Data'!I228</x:f>
        <x:v>297</x:v>
      </x:c>
      <x:c r="J228" s="196" t="n">
        <x:f>'Raw Data'!J228</x:f>
        <x:v>0.05</x:v>
      </x:c>
      <x:c r="K228" s="195" t="n">
        <x:f>'Raw Data'!K228</x:f>
        <x:v>41580</x:v>
      </x:c>
      <x:c r="L228" s="195" t="n">
        <x:f>'Raw Data'!L228</x:f>
        <x:v>39501</x:v>
      </x:c>
      <x:c r="M228" s="195" t="n">
        <x:f>'Raw Data'!M228</x:f>
        <x:v>29230.739999999998</x:v>
      </x:c>
      <x:c r="N228" s="195" t="n">
        <x:f>'Raw Data'!N228</x:f>
        <x:v>10270.260000000002</x:v>
      </x:c>
      <x:c r="O228" s="195" t="n">
        <x:f>'Raw Data'!O228</x:f>
        <x:v>5135.13</x:v>
      </x:c>
      <x:c r="P228" s="195" t="n">
        <x:f>'Raw Data'!P228</x:f>
        <x:v>5135.130000000002</x:v>
      </x:c>
      <x:c r="Q228" s="195" t="n">
        <x:f>'Raw Data'!Q228</x:f>
        <x:v>43226.10166413307</x:v>
      </x:c>
      <x:c r="R228" s="196" t="n">
        <x:f t="shared" si="9">IFERROR(N228/L228,0)</x:f>
        <x:v>0.26000000000000006</x:v>
      </x:c>
      <x:c r="S228" s="196" t="n">
        <x:f t="shared" si="10">IFERROR(P228/L228,0)</x:f>
        <x:v>0.13000000000000006</x:v>
      </x:c>
      <x:c r="T228" s="196" t="n">
        <x:f t="shared" si="11">IFERROR(L228/Q228,0)</x:f>
        <x:v>0.9138228634847269</x:v>
      </x:c>
    </x:row>
    <x:row r="229">
      <x:c r="A229" s="192" t="str">
        <x:f>'Raw Data'!A229</x:f>
        <x:v>ZOM-0225</x:v>
      </x:c>
      <x:c r="B229" s="193" t="n">
        <x:f>'Raw Data'!B229</x:f>
        <x:v>45882</x:v>
      </x:c>
      <x:c r="C229" s="236" t="str">
        <x:f>'Raw Data'!C229</x:f>
        <x:v>North</x:v>
      </x:c>
      <x:c r="D229" s="192" t="str">
        <x:f>'Raw Data'!D229</x:f>
        <x:v>Lucknow</x:v>
      </x:c>
      <x:c r="E229" s="192" t="str">
        <x:f>'Raw Data'!E229</x:f>
        <x:v>Biryani</x:v>
      </x:c>
      <x:c r="F229" s="192" t="str">
        <x:f>'Raw Data'!F229</x:f>
        <x:v>Student</x:v>
      </x:c>
      <x:c r="G229" s="192" t="str">
        <x:f>'Raw Data'!G229</x:f>
        <x:v>Student Customer 29</x:v>
      </x:c>
      <x:c r="H229" s="192" t="n">
        <x:f>'Raw Data'!H229</x:f>
        <x:v>72</x:v>
      </x:c>
      <x:c r="I229" s="195" t="n">
        <x:f>'Raw Data'!I229</x:f>
        <x:v>512</x:v>
      </x:c>
      <x:c r="J229" s="196" t="n">
        <x:f>'Raw Data'!J229</x:f>
        <x:v>0.09999999999999999</x:v>
      </x:c>
      <x:c r="K229" s="195" t="n">
        <x:f>'Raw Data'!K229</x:f>
        <x:v>36864</x:v>
      </x:c>
      <x:c r="L229" s="195" t="n">
        <x:f>'Raw Data'!L229</x:f>
        <x:v>33177.6</x:v>
      </x:c>
      <x:c r="M229" s="195" t="n">
        <x:f>'Raw Data'!M229</x:f>
        <x:v>24551.424</x:v>
      </x:c>
      <x:c r="N229" s="195" t="n">
        <x:f>'Raw Data'!N229</x:f>
        <x:v>8626.176</x:v>
      </x:c>
      <x:c r="O229" s="195" t="n">
        <x:f>'Raw Data'!O229</x:f>
        <x:v>4313.088</x:v>
      </x:c>
      <x:c r="P229" s="195" t="n">
        <x:f>'Raw Data'!P229</x:f>
        <x:v>4313.088</x:v>
      </x:c>
      <x:c r="Q229" s="195" t="n">
        <x:f>'Raw Data'!Q229</x:f>
        <x:v>35997.83024157039</x:v>
      </x:c>
      <x:c r="R229" s="196" t="n">
        <x:f t="shared" si="9">IFERROR(N229/L229,0)</x:f>
        <x:v>0.26</x:v>
      </x:c>
      <x:c r="S229" s="196" t="n">
        <x:f t="shared" si="10">IFERROR(P229/L229,0)</x:f>
        <x:v>0.13</x:v>
      </x:c>
      <x:c r="T229" s="196" t="n">
        <x:f t="shared" si="11">IFERROR(L229/Q229,0)</x:f>
        <x:v>0.9216555491638054</x:v>
      </x:c>
    </x:row>
    <x:row r="230">
      <x:c r="A230" s="192" t="str">
        <x:f>'Raw Data'!A230</x:f>
        <x:v>ZOM-0226</x:v>
      </x:c>
      <x:c r="B230" s="193" t="n">
        <x:f>'Raw Data'!B230</x:f>
        <x:v>45883</x:v>
      </x:c>
      <x:c r="C230" s="236" t="str">
        <x:f>'Raw Data'!C230</x:f>
        <x:v>Central</x:v>
      </x:c>
      <x:c r="D230" s="192" t="str">
        <x:f>'Raw Data'!D230</x:f>
        <x:v>Bhopal</x:v>
      </x:c>
      <x:c r="E230" s="192" t="str">
        <x:f>'Raw Data'!E230</x:f>
        <x:v>Healthy</x:v>
      </x:c>
      <x:c r="F230" s="192" t="str">
        <x:f>'Raw Data'!F230</x:f>
        <x:v>Budget</x:v>
      </x:c>
      <x:c r="G230" s="192" t="str">
        <x:f>'Raw Data'!G230</x:f>
        <x:v>Budget Customer 46</x:v>
      </x:c>
      <x:c r="H230" s="192" t="n">
        <x:f>'Raw Data'!H230</x:f>
        <x:v>86</x:v>
      </x:c>
      <x:c r="I230" s="195" t="n">
        <x:f>'Raw Data'!I230</x:f>
        <x:v>433</x:v>
      </x:c>
      <x:c r="J230" s="196" t="n">
        <x:f>'Raw Data'!J230</x:f>
        <x:v>0.1</x:v>
      </x:c>
      <x:c r="K230" s="195" t="n">
        <x:f>'Raw Data'!K230</x:f>
        <x:v>37238</x:v>
      </x:c>
      <x:c r="L230" s="195" t="n">
        <x:f>'Raw Data'!L230</x:f>
        <x:v>33514.200000000004</x:v>
      </x:c>
      <x:c r="M230" s="195" t="n">
        <x:f>'Raw Data'!M230</x:f>
        <x:v>23459.940000000002</x:v>
      </x:c>
      <x:c r="N230" s="195" t="n">
        <x:f>'Raw Data'!N230</x:f>
        <x:v>10054.260000000002</x:v>
      </x:c>
      <x:c r="O230" s="195" t="n">
        <x:f>'Raw Data'!O230</x:f>
        <x:v>4356.8460000000005</x:v>
      </x:c>
      <x:c r="P230" s="195" t="n">
        <x:f>'Raw Data'!P230</x:f>
        <x:v>5697.414000000002</x:v>
      </x:c>
      <x:c r="Q230" s="195" t="n">
        <x:f>'Raw Data'!Q230</x:f>
        <x:v>36163.147495198304</x:v>
      </x:c>
      <x:c r="R230" s="196" t="n">
        <x:f t="shared" si="9">IFERROR(N230/L230,0)</x:f>
        <x:v>0.30000000000000004</x:v>
      </x:c>
      <x:c r="S230" s="196" t="n">
        <x:f t="shared" si="10">IFERROR(P230/L230,0)</x:f>
        <x:v>0.17</x:v>
      </x:c>
      <x:c r="T230" s="196" t="n">
        <x:f t="shared" si="11">IFERROR(L230/Q230,0)</x:f>
        <x:v>0.9267500845840362</x:v>
      </x:c>
    </x:row>
    <x:row r="231">
      <x:c r="A231" s="192" t="str">
        <x:f>'Raw Data'!A231</x:f>
        <x:v>ZOM-0227</x:v>
      </x:c>
      <x:c r="B231" s="193" t="n">
        <x:f>'Raw Data'!B231</x:f>
        <x:v>45884</x:v>
      </x:c>
      <x:c r="C231" s="236" t="str">
        <x:f>'Raw Data'!C231</x:f>
        <x:v>West</x:v>
      </x:c>
      <x:c r="D231" s="192" t="str">
        <x:f>'Raw Data'!D231</x:f>
        <x:v>Surat</x:v>
      </x:c>
      <x:c r="E231" s="192" t="str">
        <x:f>'Raw Data'!E231</x:f>
        <x:v>North Indian</x:v>
      </x:c>
      <x:c r="F231" s="192" t="str">
        <x:f>'Raw Data'!F231</x:f>
        <x:v>Student</x:v>
      </x:c>
      <x:c r="G231" s="192" t="str">
        <x:f>'Raw Data'!G231</x:f>
        <x:v>Student Customer 58</x:v>
      </x:c>
      <x:c r="H231" s="192" t="n">
        <x:f>'Raw Data'!H231</x:f>
        <x:v>112</x:v>
      </x:c>
      <x:c r="I231" s="195" t="n">
        <x:f>'Raw Data'!I231</x:f>
        <x:v>557</x:v>
      </x:c>
      <x:c r="J231" s="196" t="n">
        <x:f>'Raw Data'!J231</x:f>
        <x:v>0.13</x:v>
      </x:c>
      <x:c r="K231" s="195" t="n">
        <x:f>'Raw Data'!K231</x:f>
        <x:v>62384</x:v>
      </x:c>
      <x:c r="L231" s="195" t="n">
        <x:f>'Raw Data'!L231</x:f>
        <x:v>54274.08</x:v>
      </x:c>
      <x:c r="M231" s="195" t="n">
        <x:f>'Raw Data'!M231</x:f>
        <x:v>39620.0784</x:v>
      </x:c>
      <x:c r="N231" s="195" t="n">
        <x:f>'Raw Data'!N231</x:f>
        <x:v>14654.001600000003</x:v>
      </x:c>
      <x:c r="O231" s="195" t="n">
        <x:f>'Raw Data'!O231</x:f>
        <x:v>7055.630400000001</x:v>
      </x:c>
      <x:c r="P231" s="195" t="n">
        <x:f>'Raw Data'!P231</x:f>
        <x:v>7598.371200000002</x:v>
      </x:c>
      <x:c r="Q231" s="195" t="n">
        <x:f>'Raw Data'!Q231</x:f>
        <x:v>56615.65589595887</x:v>
      </x:c>
      <x:c r="R231" s="196" t="n">
        <x:f t="shared" si="9">IFERROR(N231/L231,0)</x:f>
        <x:v>0.2700000000000001</x:v>
      </x:c>
      <x:c r="S231" s="196" t="n">
        <x:f t="shared" si="10">IFERROR(P231/L231,0)</x:f>
        <x:v>0.14000000000000004</x:v>
      </x:c>
      <x:c r="T231" s="196" t="n">
        <x:f t="shared" si="11">IFERROR(L231/Q231,0)</x:f>
        <x:v>0.9586408413202538</x:v>
      </x:c>
    </x:row>
    <x:row r="232">
      <x:c r="A232" s="192" t="str">
        <x:f>'Raw Data'!A232</x:f>
        <x:v>ZOM-0228</x:v>
      </x:c>
      <x:c r="B232" s="193" t="n">
        <x:f>'Raw Data'!B232</x:f>
        <x:v>45885</x:v>
      </x:c>
      <x:c r="C232" s="236" t="str">
        <x:f>'Raw Data'!C232</x:f>
        <x:v>Central</x:v>
      </x:c>
      <x:c r="D232" s="192" t="str">
        <x:f>'Raw Data'!D232</x:f>
        <x:v>Varanasi</x:v>
      </x:c>
      <x:c r="E232" s="192" t="str">
        <x:f>'Raw Data'!E232</x:f>
        <x:v>Burgers</x:v>
      </x:c>
      <x:c r="F232" s="192" t="str">
        <x:f>'Raw Data'!F232</x:f>
        <x:v>New User</x:v>
      </x:c>
      <x:c r="G232" s="192" t="str">
        <x:f>'Raw Data'!G232</x:f>
        <x:v>New User Customer 42</x:v>
      </x:c>
      <x:c r="H232" s="192" t="n">
        <x:f>'Raw Data'!H232</x:f>
        <x:v>82</x:v>
      </x:c>
      <x:c r="I232" s="195" t="n">
        <x:f>'Raw Data'!I232</x:f>
        <x:v>452</x:v>
      </x:c>
      <x:c r="J232" s="196" t="n">
        <x:f>'Raw Data'!J232</x:f>
        <x:v>0.08</x:v>
      </x:c>
      <x:c r="K232" s="195" t="n">
        <x:f>'Raw Data'!K232</x:f>
        <x:v>37064</x:v>
      </x:c>
      <x:c r="L232" s="195" t="n">
        <x:f>'Raw Data'!L232</x:f>
        <x:v>34098.880000000005</x:v>
      </x:c>
      <x:c r="M232" s="195" t="n">
        <x:f>'Raw Data'!M232</x:f>
        <x:v>25233.171200000004</x:v>
      </x:c>
      <x:c r="N232" s="195" t="n">
        <x:f>'Raw Data'!N232</x:f>
        <x:v>8865.7088</x:v>
      </x:c>
      <x:c r="O232" s="195" t="n">
        <x:f>'Raw Data'!O232</x:f>
        <x:v>4432.854400000001</x:v>
      </x:c>
      <x:c r="P232" s="195" t="n">
        <x:f>'Raw Data'!P232</x:f>
        <x:v>4432.854399999999</x:v>
      </x:c>
      <x:c r="Q232" s="195" t="n">
        <x:f>'Raw Data'!Q232</x:f>
        <x:v>36403.501738906474</x:v>
      </x:c>
      <x:c r="R232" s="196" t="n">
        <x:f t="shared" si="9">IFERROR(N232/L232,0)</x:f>
        <x:v>0.25999999999999995</x:v>
      </x:c>
      <x:c r="S232" s="196" t="n">
        <x:f t="shared" si="10">IFERROR(P232/L232,0)</x:f>
        <x:v>0.12999999999999995</x:v>
      </x:c>
      <x:c r="T232" s="196" t="n">
        <x:f t="shared" si="11">IFERROR(L232/Q232,0)</x:f>
        <x:v>0.9366923062666965</x:v>
      </x:c>
    </x:row>
    <x:row r="233">
      <x:c r="A233" s="192" t="str">
        <x:f>'Raw Data'!A233</x:f>
        <x:v>ZOM-0229</x:v>
      </x:c>
      <x:c r="B233" s="193" t="n">
        <x:f>'Raw Data'!B233</x:f>
        <x:v>45886</x:v>
      </x:c>
      <x:c r="C233" s="236" t="str">
        <x:f>'Raw Data'!C233</x:f>
        <x:v>East</x:v>
      </x:c>
      <x:c r="D233" s="192" t="str">
        <x:f>'Raw Data'!D233</x:f>
        <x:v>Ranchi</x:v>
      </x:c>
      <x:c r="E233" s="192" t="str">
        <x:f>'Raw Data'!E233</x:f>
        <x:v>Snacks</x:v>
      </x:c>
      <x:c r="F233" s="192" t="str">
        <x:f>'Raw Data'!F233</x:f>
        <x:v>Repeat User</x:v>
      </x:c>
      <x:c r="G233" s="192" t="str">
        <x:f>'Raw Data'!G233</x:f>
        <x:v>Repeat User Customer 38</x:v>
      </x:c>
      <x:c r="H233" s="192" t="n">
        <x:f>'Raw Data'!H233</x:f>
        <x:v>113</x:v>
      </x:c>
      <x:c r="I233" s="195" t="n">
        <x:f>'Raw Data'!I233</x:f>
        <x:v>208</x:v>
      </x:c>
      <x:c r="J233" s="196" t="n">
        <x:f>'Raw Data'!J233</x:f>
        <x:v>0.030000000000000002</x:v>
      </x:c>
      <x:c r="K233" s="195" t="n">
        <x:f>'Raw Data'!K233</x:f>
        <x:v>23504</x:v>
      </x:c>
      <x:c r="L233" s="195" t="n">
        <x:f>'Raw Data'!L233</x:f>
        <x:v>22798.88</x:v>
      </x:c>
      <x:c r="M233" s="195" t="n">
        <x:f>'Raw Data'!M233</x:f>
        <x:v>16871.1712</x:v>
      </x:c>
      <x:c r="N233" s="195" t="n">
        <x:f>'Raw Data'!N233</x:f>
        <x:v>5927.7088</x:v>
      </x:c>
      <x:c r="O233" s="195" t="n">
        <x:f>'Raw Data'!O233</x:f>
        <x:v>2963.8544</x:v>
      </x:c>
      <x:c r="P233" s="195" t="n">
        <x:f>'Raw Data'!P233</x:f>
        <x:v>2963.8544</x:v>
      </x:c>
      <x:c r="Q233" s="195" t="n">
        <x:f>'Raw Data'!Q233</x:f>
        <x:v>24218.240963679957</x:v>
      </x:c>
      <x:c r="R233" s="196" t="n">
        <x:f t="shared" si="9">IFERROR(N233/L233,0)</x:f>
        <x:v>0.26</x:v>
      </x:c>
      <x:c r="S233" s="196" t="n">
        <x:f t="shared" si="10">IFERROR(P233/L233,0)</x:f>
        <x:v>0.13</x:v>
      </x:c>
      <x:c r="T233" s="196" t="n">
        <x:f t="shared" si="11">IFERROR(L233/Q233,0)</x:f>
        <x:v>0.94139289613112</x:v>
      </x:c>
    </x:row>
    <x:row r="234">
      <x:c r="A234" s="192" t="str">
        <x:f>'Raw Data'!A234</x:f>
        <x:v>ZOM-0230</x:v>
      </x:c>
      <x:c r="B234" s="193" t="n">
        <x:f>'Raw Data'!B234</x:f>
        <x:v>45887</x:v>
      </x:c>
      <x:c r="C234" s="236" t="str">
        <x:f>'Raw Data'!C234</x:f>
        <x:v>East</x:v>
      </x:c>
      <x:c r="D234" s="192" t="str">
        <x:f>'Raw Data'!D234</x:f>
        <x:v>Bhubaneswar</x:v>
      </x:c>
      <x:c r="E234" s="192" t="str">
        <x:f>'Raw Data'!E234</x:f>
        <x:v>South Indian</x:v>
      </x:c>
      <x:c r="F234" s="192" t="str">
        <x:f>'Raw Data'!F234</x:f>
        <x:v>Repeat User</x:v>
      </x:c>
      <x:c r="G234" s="192" t="str">
        <x:f>'Raw Data'!G234</x:f>
        <x:v>Repeat User Customer 27</x:v>
      </x:c>
      <x:c r="H234" s="192" t="n">
        <x:f>'Raw Data'!H234</x:f>
        <x:v>131</x:v>
      </x:c>
      <x:c r="I234" s="195" t="n">
        <x:f>'Raw Data'!I234</x:f>
        <x:v>402</x:v>
      </x:c>
      <x:c r="J234" s="196" t="n">
        <x:f>'Raw Data'!J234</x:f>
        <x:v>0.05</x:v>
      </x:c>
      <x:c r="K234" s="195" t="n">
        <x:f>'Raw Data'!K234</x:f>
        <x:v>52662</x:v>
      </x:c>
      <x:c r="L234" s="195" t="n">
        <x:f>'Raw Data'!L234</x:f>
        <x:v>50028.899999999994</x:v>
      </x:c>
      <x:c r="M234" s="195" t="n">
        <x:f>'Raw Data'!M234</x:f>
        <x:v>37021.386</x:v>
      </x:c>
      <x:c r="N234" s="195" t="n">
        <x:f>'Raw Data'!N234</x:f>
        <x:v>13007.513999999996</x:v>
      </x:c>
      <x:c r="O234" s="195" t="n">
        <x:f>'Raw Data'!O234</x:f>
        <x:v>6503.757</x:v>
      </x:c>
      <x:c r="P234" s="195" t="n">
        <x:f>'Raw Data'!P234</x:f>
        <x:v>6503.756999999996</x:v>
      </x:c>
      <x:c r="Q234" s="195" t="n">
        <x:f>'Raw Data'!Q234</x:f>
        <x:v>50656.55872520993</x:v>
      </x:c>
      <x:c r="R234" s="196" t="n">
        <x:f t="shared" si="9">IFERROR(N234/L234,0)</x:f>
        <x:v>0.25999999999999995</x:v>
      </x:c>
      <x:c r="S234" s="196" t="n">
        <x:f t="shared" si="10">IFERROR(P234/L234,0)</x:f>
        <x:v>0.12999999999999992</x:v>
      </x:c>
      <x:c r="T234" s="196" t="n">
        <x:f t="shared" si="11">IFERROR(L234/Q234,0)</x:f>
        <x:v>0.9876095269594859</x:v>
      </x:c>
    </x:row>
    <x:row r="235">
      <x:c r="A235" s="192" t="str">
        <x:f>'Raw Data'!A235</x:f>
        <x:v>ZOM-0231</x:v>
      </x:c>
      <x:c r="B235" s="193" t="n">
        <x:f>'Raw Data'!B235</x:f>
        <x:v>45888</x:v>
      </x:c>
      <x:c r="C235" s="236" t="str">
        <x:f>'Raw Data'!C235</x:f>
        <x:v>Metro</x:v>
      </x:c>
      <x:c r="D235" s="192" t="str">
        <x:f>'Raw Data'!D235</x:f>
        <x:v>Delhi</x:v>
      </x:c>
      <x:c r="E235" s="192" t="str">
        <x:f>'Raw Data'!E235</x:f>
        <x:v>North Indian</x:v>
      </x:c>
      <x:c r="F235" s="192" t="str">
        <x:f>'Raw Data'!F235</x:f>
        <x:v>Student</x:v>
      </x:c>
      <x:c r="G235" s="192" t="str">
        <x:f>'Raw Data'!G235</x:f>
        <x:v>Student Customer 31</x:v>
      </x:c>
      <x:c r="H235" s="192" t="n">
        <x:f>'Raw Data'!H235</x:f>
        <x:v>78</x:v>
      </x:c>
      <x:c r="I235" s="195" t="n">
        <x:f>'Raw Data'!I235</x:f>
        <x:v>504</x:v>
      </x:c>
      <x:c r="J235" s="196" t="n">
        <x:f>'Raw Data'!J235</x:f>
        <x:v>0.12</x:v>
      </x:c>
      <x:c r="K235" s="195" t="n">
        <x:f>'Raw Data'!K235</x:f>
        <x:v>39312</x:v>
      </x:c>
      <x:c r="L235" s="195" t="n">
        <x:f>'Raw Data'!L235</x:f>
        <x:v>34594.56</x:v>
      </x:c>
      <x:c r="M235" s="195" t="n">
        <x:f>'Raw Data'!M235</x:f>
        <x:v>25254.028799999996</x:v>
      </x:c>
      <x:c r="N235" s="195" t="n">
        <x:f>'Raw Data'!N235</x:f>
        <x:v>9340.531200000001</x:v>
      </x:c>
      <x:c r="O235" s="195" t="n">
        <x:f>'Raw Data'!O235</x:f>
        <x:v>4497.2928</x:v>
      </x:c>
      <x:c r="P235" s="195" t="n">
        <x:f>'Raw Data'!P235</x:f>
        <x:v>4843.238400000001</x:v>
      </x:c>
      <x:c r="Q235" s="195" t="n">
        <x:f>'Raw Data'!Q235</x:f>
        <x:v>36599.35349284002</x:v>
      </x:c>
      <x:c r="R235" s="196" t="n">
        <x:f t="shared" si="9">IFERROR(N235/L235,0)</x:f>
        <x:v>0.2700000000000001</x:v>
      </x:c>
      <x:c r="S235" s="196" t="n">
        <x:f t="shared" si="10">IFERROR(P235/L235,0)</x:f>
        <x:v>0.14000000000000004</x:v>
      </x:c>
      <x:c r="T235" s="196" t="n">
        <x:f t="shared" si="11">IFERROR(L235/Q235,0)</x:f>
        <x:v>0.9452232539235366</x:v>
      </x:c>
    </x:row>
    <x:row r="236">
      <x:c r="A236" s="192" t="str">
        <x:f>'Raw Data'!A236</x:f>
        <x:v>ZOM-0232</x:v>
      </x:c>
      <x:c r="B236" s="193" t="n">
        <x:f>'Raw Data'!B236</x:f>
        <x:v>45889</x:v>
      </x:c>
      <x:c r="C236" s="236" t="str">
        <x:f>'Raw Data'!C236</x:f>
        <x:v>North</x:v>
      </x:c>
      <x:c r="D236" s="192" t="str">
        <x:f>'Raw Data'!D236</x:f>
        <x:v>Jaipur</x:v>
      </x:c>
      <x:c r="E236" s="192" t="str">
        <x:f>'Raw Data'!E236</x:f>
        <x:v>Pizza</x:v>
      </x:c>
      <x:c r="F236" s="192" t="str">
        <x:f>'Raw Data'!F236</x:f>
        <x:v>Repeat User</x:v>
      </x:c>
      <x:c r="G236" s="192" t="str">
        <x:f>'Raw Data'!G236</x:f>
        <x:v>Repeat User Customer 48</x:v>
      </x:c>
      <x:c r="H236" s="192" t="n">
        <x:f>'Raw Data'!H236</x:f>
        <x:v>84</x:v>
      </x:c>
      <x:c r="I236" s="195" t="n">
        <x:f>'Raw Data'!I236</x:f>
        <x:v>514</x:v>
      </x:c>
      <x:c r="J236" s="196" t="n">
        <x:f>'Raw Data'!J236</x:f>
        <x:v>0.05</x:v>
      </x:c>
      <x:c r="K236" s="195" t="n">
        <x:f>'Raw Data'!K236</x:f>
        <x:v>43176</x:v>
      </x:c>
      <x:c r="L236" s="195" t="n">
        <x:f>'Raw Data'!L236</x:f>
        <x:v>41017.2</x:v>
      </x:c>
      <x:c r="M236" s="195" t="n">
        <x:f>'Raw Data'!M236</x:f>
        <x:v>30352.728</x:v>
      </x:c>
      <x:c r="N236" s="195" t="n">
        <x:f>'Raw Data'!N236</x:f>
        <x:v>10664.471999999998</x:v>
      </x:c>
      <x:c r="O236" s="195" t="n">
        <x:f>'Raw Data'!O236</x:f>
        <x:v>5332.236</x:v>
      </x:c>
      <x:c r="P236" s="195" t="n">
        <x:f>'Raw Data'!P236</x:f>
        <x:v>5332.235999999998</x:v>
      </x:c>
      <x:c r="Q236" s="195" t="n">
        <x:f>'Raw Data'!Q236</x:f>
        <x:v>41826.1613636731</x:v>
      </x:c>
      <x:c r="R236" s="196" t="n">
        <x:f t="shared" si="9">IFERROR(N236/L236,0)</x:f>
        <x:v>0.25999999999999995</x:v>
      </x:c>
      <x:c r="S236" s="196" t="n">
        <x:f t="shared" si="10">IFERROR(P236/L236,0)</x:f>
        <x:v>0.12999999999999995</x:v>
      </x:c>
      <x:c r="T236" s="196" t="n">
        <x:f t="shared" si="11">IFERROR(L236/Q236,0)</x:f>
        <x:v>0.9806589623025818</x:v>
      </x:c>
    </x:row>
    <x:row r="237">
      <x:c r="A237" s="192" t="str">
        <x:f>'Raw Data'!A237</x:f>
        <x:v>ZOM-0233</x:v>
      </x:c>
      <x:c r="B237" s="193" t="n">
        <x:f>'Raw Data'!B237</x:f>
        <x:v>45890</x:v>
      </x:c>
      <x:c r="C237" s="236" t="str">
        <x:f>'Raw Data'!C237</x:f>
        <x:v>South</x:v>
      </x:c>
      <x:c r="D237" s="192" t="str">
        <x:f>'Raw Data'!D237</x:f>
        <x:v>Hyderabad</x:v>
      </x:c>
      <x:c r="E237" s="192" t="str">
        <x:f>'Raw Data'!E237</x:f>
        <x:v>Chinese</x:v>
      </x:c>
      <x:c r="F237" s="192" t="str">
        <x:f>'Raw Data'!F237</x:f>
        <x:v>Repeat User</x:v>
      </x:c>
      <x:c r="G237" s="192" t="str">
        <x:f>'Raw Data'!G237</x:f>
        <x:v>Repeat User Customer 43</x:v>
      </x:c>
      <x:c r="H237" s="192" t="n">
        <x:f>'Raw Data'!H237</x:f>
        <x:v>132</x:v>
      </x:c>
      <x:c r="I237" s="195" t="n">
        <x:f>'Raw Data'!I237</x:f>
        <x:v>542</x:v>
      </x:c>
      <x:c r="J237" s="196" t="n">
        <x:f>'Raw Data'!J237</x:f>
        <x:v>0.05</x:v>
      </x:c>
      <x:c r="K237" s="195" t="n">
        <x:f>'Raw Data'!K237</x:f>
        <x:v>71544</x:v>
      </x:c>
      <x:c r="L237" s="195" t="n">
        <x:f>'Raw Data'!L237</x:f>
        <x:v>67966.8</x:v>
      </x:c>
      <x:c r="M237" s="195" t="n">
        <x:f>'Raw Data'!M237</x:f>
        <x:v>50295.432</x:v>
      </x:c>
      <x:c r="N237" s="195" t="n">
        <x:f>'Raw Data'!N237</x:f>
        <x:v>17671.368000000002</x:v>
      </x:c>
      <x:c r="O237" s="195" t="n">
        <x:f>'Raw Data'!O237</x:f>
        <x:v>8835.684000000001</x:v>
      </x:c>
      <x:c r="P237" s="195" t="n">
        <x:f>'Raw Data'!P237</x:f>
        <x:v>8835.684000000001</x:v>
      </x:c>
      <x:c r="Q237" s="195" t="n">
        <x:f>'Raw Data'!Q237</x:f>
        <x:v>69486.97474480435</x:v>
      </x:c>
      <x:c r="R237" s="196" t="n">
        <x:f t="shared" si="9">IFERROR(N237/L237,0)</x:f>
        <x:v>0.26</x:v>
      </x:c>
      <x:c r="S237" s="196" t="n">
        <x:f t="shared" si="10">IFERROR(P237/L237,0)</x:f>
        <x:v>0.13</x:v>
      </x:c>
      <x:c r="T237" s="196" t="n">
        <x:f t="shared" si="11">IFERROR(L237/Q237,0)</x:f>
        <x:v>0.9781228820165608</x:v>
      </x:c>
    </x:row>
    <x:row r="238">
      <x:c r="A238" s="192" t="str">
        <x:f>'Raw Data'!A238</x:f>
        <x:v>ZOM-0234</x:v>
      </x:c>
      <x:c r="B238" s="193" t="n">
        <x:f>'Raw Data'!B238</x:f>
        <x:v>45891</x:v>
      </x:c>
      <x:c r="C238" s="236" t="str">
        <x:f>'Raw Data'!C238</x:f>
        <x:v>West</x:v>
      </x:c>
      <x:c r="D238" s="192" t="str">
        <x:f>'Raw Data'!D238</x:f>
        <x:v>Mumbai</x:v>
      </x:c>
      <x:c r="E238" s="192" t="str">
        <x:f>'Raw Data'!E238</x:f>
        <x:v>Desserts</x:v>
      </x:c>
      <x:c r="F238" s="192" t="str">
        <x:f>'Raw Data'!F238</x:f>
        <x:v>Student</x:v>
      </x:c>
      <x:c r="G238" s="192" t="str">
        <x:f>'Raw Data'!G238</x:f>
        <x:v>Student Customer 46</x:v>
      </x:c>
      <x:c r="H238" s="192" t="n">
        <x:f>'Raw Data'!H238</x:f>
        <x:v>108</x:v>
      </x:c>
      <x:c r="I238" s="195" t="n">
        <x:f>'Raw Data'!I238</x:f>
        <x:v>301</x:v>
      </x:c>
      <x:c r="J238" s="196" t="n">
        <x:f>'Raw Data'!J238</x:f>
        <x:v>0.13</x:v>
      </x:c>
      <x:c r="K238" s="195" t="n">
        <x:f>'Raw Data'!K238</x:f>
        <x:v>32508</x:v>
      </x:c>
      <x:c r="L238" s="195" t="n">
        <x:f>'Raw Data'!L238</x:f>
        <x:v>28281.96</x:v>
      </x:c>
      <x:c r="M238" s="195" t="n">
        <x:f>'Raw Data'!M238</x:f>
        <x:v>19514.552399999997</x:v>
      </x:c>
      <x:c r="N238" s="195" t="n">
        <x:f>'Raw Data'!N238</x:f>
        <x:v>8767.407600000002</x:v>
      </x:c>
      <x:c r="O238" s="195" t="n">
        <x:f>'Raw Data'!O238</x:f>
        <x:v>3676.6548</x:v>
      </x:c>
      <x:c r="P238" s="195" t="n">
        <x:f>'Raw Data'!P238</x:f>
        <x:v>5090.752800000002</x:v>
      </x:c>
      <x:c r="Q238" s="195" t="n">
        <x:f>'Raw Data'!Q238</x:f>
        <x:v>29226.616483541286</x:v>
      </x:c>
      <x:c r="R238" s="196" t="n">
        <x:f t="shared" si="9">IFERROR(N238/L238,0)</x:f>
        <x:v>0.3100000000000001</x:v>
      </x:c>
      <x:c r="S238" s="196" t="n">
        <x:f t="shared" si="10">IFERROR(P238/L238,0)</x:f>
        <x:v>0.18000000000000008</x:v>
      </x:c>
      <x:c r="T238" s="196" t="n">
        <x:f t="shared" si="11">IFERROR(L238/Q238,0)</x:f>
        <x:v>0.9676782126294619</x:v>
      </x:c>
    </x:row>
    <x:row r="239">
      <x:c r="A239" s="192" t="str">
        <x:f>'Raw Data'!A239</x:f>
        <x:v>ZOM-0235</x:v>
      </x:c>
      <x:c r="B239" s="193" t="n">
        <x:f>'Raw Data'!B239</x:f>
        <x:v>45892</x:v>
      </x:c>
      <x:c r="C239" s="236" t="str">
        <x:f>'Raw Data'!C239</x:f>
        <x:v>Central</x:v>
      </x:c>
      <x:c r="D239" s="192" t="str">
        <x:f>'Raw Data'!D239</x:f>
        <x:v>Bhopal</x:v>
      </x:c>
      <x:c r="E239" s="192" t="str">
        <x:f>'Raw Data'!E239</x:f>
        <x:v>Chinese</x:v>
      </x:c>
      <x:c r="F239" s="192" t="str">
        <x:f>'Raw Data'!F239</x:f>
        <x:v>Budget</x:v>
      </x:c>
      <x:c r="G239" s="192" t="str">
        <x:f>'Raw Data'!G239</x:f>
        <x:v>Budget Customer 32</x:v>
      </x:c>
      <x:c r="H239" s="192" t="n">
        <x:f>'Raw Data'!H239</x:f>
        <x:v>97</x:v>
      </x:c>
      <x:c r="I239" s="195" t="n">
        <x:f>'Raw Data'!I239</x:f>
        <x:v>396</x:v>
      </x:c>
      <x:c r="J239" s="196" t="n">
        <x:f>'Raw Data'!J239</x:f>
        <x:v>0.1</x:v>
      </x:c>
      <x:c r="K239" s="195" t="n">
        <x:f>'Raw Data'!K239</x:f>
        <x:v>38412</x:v>
      </x:c>
      <x:c r="L239" s="195" t="n">
        <x:f>'Raw Data'!L239</x:f>
        <x:v>34570.8</x:v>
      </x:c>
      <x:c r="M239" s="195" t="n">
        <x:f>'Raw Data'!M239</x:f>
        <x:v>25582.392000000003</x:v>
      </x:c>
      <x:c r="N239" s="195" t="n">
        <x:f>'Raw Data'!N239</x:f>
        <x:v>8988.408</x:v>
      </x:c>
      <x:c r="O239" s="195" t="n">
        <x:f>'Raw Data'!O239</x:f>
        <x:v>4494.204000000001</x:v>
      </x:c>
      <x:c r="P239" s="195" t="n">
        <x:f>'Raw Data'!P239</x:f>
        <x:v>4494.203999999999</x:v>
      </x:c>
      <x:c r="Q239" s="195" t="n">
        <x:f>'Raw Data'!Q239</x:f>
        <x:v>37353.20219218329</x:v>
      </x:c>
      <x:c r="R239" s="196" t="n">
        <x:f t="shared" si="9">IFERROR(N239/L239,0)</x:f>
        <x:v>0.25999999999999995</x:v>
      </x:c>
      <x:c r="S239" s="196" t="n">
        <x:f t="shared" si="10">IFERROR(P239/L239,0)</x:f>
        <x:v>0.12999999999999995</x:v>
      </x:c>
      <x:c r="T239" s="196" t="n">
        <x:f t="shared" si="11">IFERROR(L239/Q239,0)</x:f>
        <x:v>0.92551101300853</x:v>
      </x:c>
    </x:row>
    <x:row r="240">
      <x:c r="A240" s="192" t="str">
        <x:f>'Raw Data'!A240</x:f>
        <x:v>ZOM-0236</x:v>
      </x:c>
      <x:c r="B240" s="193" t="n">
        <x:f>'Raw Data'!B240</x:f>
        <x:v>45893</x:v>
      </x:c>
      <x:c r="C240" s="236" t="str">
        <x:f>'Raw Data'!C240</x:f>
        <x:v>West</x:v>
      </x:c>
      <x:c r="D240" s="192" t="str">
        <x:f>'Raw Data'!D240</x:f>
        <x:v>Ahmedabad</x:v>
      </x:c>
      <x:c r="E240" s="192" t="str">
        <x:f>'Raw Data'!E240</x:f>
        <x:v>Chinese</x:v>
      </x:c>
      <x:c r="F240" s="192" t="str">
        <x:f>'Raw Data'!F240</x:f>
        <x:v>Corporate</x:v>
      </x:c>
      <x:c r="G240" s="192" t="str">
        <x:f>'Raw Data'!G240</x:f>
        <x:v>Corporate Customer 46</x:v>
      </x:c>
      <x:c r="H240" s="192" t="n">
        <x:f>'Raw Data'!H240</x:f>
        <x:v>184</x:v>
      </x:c>
      <x:c r="I240" s="195" t="n">
        <x:f>'Raw Data'!I240</x:f>
        <x:v>382</x:v>
      </x:c>
      <x:c r="J240" s="196" t="n">
        <x:f>'Raw Data'!J240</x:f>
        <x:v>0.02</x:v>
      </x:c>
      <x:c r="K240" s="195" t="n">
        <x:f>'Raw Data'!K240</x:f>
        <x:v>70288</x:v>
      </x:c>
      <x:c r="L240" s="195" t="n">
        <x:f>'Raw Data'!L240</x:f>
        <x:v>68882.24</x:v>
      </x:c>
      <x:c r="M240" s="195" t="n">
        <x:f>'Raw Data'!M240</x:f>
        <x:v>50972.8576</x:v>
      </x:c>
      <x:c r="N240" s="195" t="n">
        <x:f>'Raw Data'!N240</x:f>
        <x:v>17909.382400000002</x:v>
      </x:c>
      <x:c r="O240" s="195" t="n">
        <x:f>'Raw Data'!O240</x:f>
        <x:v>8954.691200000001</x:v>
      </x:c>
      <x:c r="P240" s="195" t="n">
        <x:f>'Raw Data'!P240</x:f>
        <x:v>8954.691200000001</x:v>
      </x:c>
      <x:c r="Q240" s="195" t="n">
        <x:f>'Raw Data'!Q240</x:f>
        <x:v>75608.49364726194</x:v>
      </x:c>
      <x:c r="R240" s="196" t="n">
        <x:f t="shared" si="9">IFERROR(N240/L240,0)</x:f>
        <x:v>0.26</x:v>
      </x:c>
      <x:c r="S240" s="196" t="n">
        <x:f t="shared" si="10">IFERROR(P240/L240,0)</x:f>
        <x:v>0.13</x:v>
      </x:c>
      <x:c r="T240" s="196" t="n">
        <x:f t="shared" si="11">IFERROR(L240/Q240,0)</x:f>
        <x:v>0.9110383857316072</x:v>
      </x:c>
    </x:row>
    <x:row r="241">
      <x:c r="A241" s="192" t="str">
        <x:f>'Raw Data'!A241</x:f>
        <x:v>ZOM-0237</x:v>
      </x:c>
      <x:c r="B241" s="193" t="n">
        <x:f>'Raw Data'!B241</x:f>
        <x:v>45894</x:v>
      </x:c>
      <x:c r="C241" s="236" t="str">
        <x:f>'Raw Data'!C241</x:f>
        <x:v>Central</x:v>
      </x:c>
      <x:c r="D241" s="192" t="str">
        <x:f>'Raw Data'!D241</x:f>
        <x:v>Varanasi</x:v>
      </x:c>
      <x:c r="E241" s="192" t="str">
        <x:f>'Raw Data'!E241</x:f>
        <x:v>Chinese</x:v>
      </x:c>
      <x:c r="F241" s="192" t="str">
        <x:f>'Raw Data'!F241</x:f>
        <x:v>Budget</x:v>
      </x:c>
      <x:c r="G241" s="192" t="str">
        <x:f>'Raw Data'!G241</x:f>
        <x:v>Budget Customer 25</x:v>
      </x:c>
      <x:c r="H241" s="192" t="n">
        <x:f>'Raw Data'!H241</x:f>
        <x:v>77</x:v>
      </x:c>
      <x:c r="I241" s="195" t="n">
        <x:f>'Raw Data'!I241</x:f>
        <x:v>383</x:v>
      </x:c>
      <x:c r="J241" s="196" t="n">
        <x:f>'Raw Data'!J241</x:f>
        <x:v>0.1</x:v>
      </x:c>
      <x:c r="K241" s="195" t="n">
        <x:f>'Raw Data'!K241</x:f>
        <x:v>29491</x:v>
      </x:c>
      <x:c r="L241" s="195" t="n">
        <x:f>'Raw Data'!L241</x:f>
        <x:v>26541.9</x:v>
      </x:c>
      <x:c r="M241" s="195" t="n">
        <x:f>'Raw Data'!M241</x:f>
        <x:v>19641.006</x:v>
      </x:c>
      <x:c r="N241" s="195" t="n">
        <x:f>'Raw Data'!N241</x:f>
        <x:v>6900.894</x:v>
      </x:c>
      <x:c r="O241" s="195" t="n">
        <x:f>'Raw Data'!O241</x:f>
        <x:v>3450.447</x:v>
      </x:c>
      <x:c r="P241" s="195" t="n">
        <x:f>'Raw Data'!P241</x:f>
        <x:v>3450.447</x:v>
      </x:c>
      <x:c r="Q241" s="195" t="n">
        <x:f>'Raw Data'!Q241</x:f>
        <x:v>26992.13091834789</x:v>
      </x:c>
      <x:c r="R241" s="196" t="n">
        <x:f t="shared" si="9">IFERROR(N241/L241,0)</x:f>
        <x:v>0.26</x:v>
      </x:c>
      <x:c r="S241" s="196" t="n">
        <x:f t="shared" si="10">IFERROR(P241/L241,0)</x:f>
        <x:v>0.13</x:v>
      </x:c>
      <x:c r="T241" s="196" t="n">
        <x:f t="shared" si="11">IFERROR(L241/Q241,0)</x:f>
        <x:v>0.9833199194346732</x:v>
      </x:c>
    </x:row>
    <x:row r="242">
      <x:c r="A242" s="192" t="str">
        <x:f>'Raw Data'!A242</x:f>
        <x:v>ZOM-0238</x:v>
      </x:c>
      <x:c r="B242" s="193" t="n">
        <x:f>'Raw Data'!B242</x:f>
        <x:v>45895</x:v>
      </x:c>
      <x:c r="C242" s="236" t="str">
        <x:f>'Raw Data'!C242</x:f>
        <x:v>West</x:v>
      </x:c>
      <x:c r="D242" s="192" t="str">
        <x:f>'Raw Data'!D242</x:f>
        <x:v>Pune</x:v>
      </x:c>
      <x:c r="E242" s="192" t="str">
        <x:f>'Raw Data'!E242</x:f>
        <x:v>Chinese</x:v>
      </x:c>
      <x:c r="F242" s="192" t="str">
        <x:f>'Raw Data'!F242</x:f>
        <x:v>Gold User</x:v>
      </x:c>
      <x:c r="G242" s="192" t="str">
        <x:f>'Raw Data'!G242</x:f>
        <x:v>Gold User Customer 21</x:v>
      </x:c>
      <x:c r="H242" s="192" t="n">
        <x:f>'Raw Data'!H242</x:f>
        <x:v>162</x:v>
      </x:c>
      <x:c r="I242" s="195" t="n">
        <x:f>'Raw Data'!I242</x:f>
        <x:v>481</x:v>
      </x:c>
      <x:c r="J242" s="196" t="n">
        <x:f>'Raw Data'!J242</x:f>
        <x:v>0.03</x:v>
      </x:c>
      <x:c r="K242" s="195" t="n">
        <x:f>'Raw Data'!K242</x:f>
        <x:v>77922</x:v>
      </x:c>
      <x:c r="L242" s="195" t="n">
        <x:f>'Raw Data'!L242</x:f>
        <x:v>75584.34</x:v>
      </x:c>
      <x:c r="M242" s="195" t="n">
        <x:f>'Raw Data'!M242</x:f>
        <x:v>55932.4116</x:v>
      </x:c>
      <x:c r="N242" s="195" t="n">
        <x:f>'Raw Data'!N242</x:f>
        <x:v>19651.928399999997</x:v>
      </x:c>
      <x:c r="O242" s="195" t="n">
        <x:f>'Raw Data'!O242</x:f>
        <x:v>9825.9642</x:v>
      </x:c>
      <x:c r="P242" s="195" t="n">
        <x:f>'Raw Data'!P242</x:f>
        <x:v>9825.964199999997</x:v>
      </x:c>
      <x:c r="Q242" s="195" t="n">
        <x:f>'Raw Data'!Q242</x:f>
        <x:v>76856.84652115846</x:v>
      </x:c>
      <x:c r="R242" s="196" t="n">
        <x:f t="shared" si="9">IFERROR(N242/L242,0)</x:f>
        <x:v>0.25999999999999995</x:v>
      </x:c>
      <x:c r="S242" s="196" t="n">
        <x:f t="shared" si="10">IFERROR(P242/L242,0)</x:f>
        <x:v>0.12999999999999995</x:v>
      </x:c>
      <x:c r="T242" s="196" t="n">
        <x:f t="shared" si="11">IFERROR(L242/Q242,0)</x:f>
        <x:v>0.9834431598646434</x:v>
      </x:c>
    </x:row>
    <x:row r="243">
      <x:c r="A243" s="192" t="str">
        <x:f>'Raw Data'!A243</x:f>
        <x:v>ZOM-0239</x:v>
      </x:c>
      <x:c r="B243" s="193" t="n">
        <x:f>'Raw Data'!B243</x:f>
        <x:v>45896</x:v>
      </x:c>
      <x:c r="C243" s="236" t="str">
        <x:f>'Raw Data'!C243</x:f>
        <x:v>Metro</x:v>
      </x:c>
      <x:c r="D243" s="192" t="str">
        <x:f>'Raw Data'!D243</x:f>
        <x:v>Pune</x:v>
      </x:c>
      <x:c r="E243" s="192" t="str">
        <x:f>'Raw Data'!E243</x:f>
        <x:v>North Indian</x:v>
      </x:c>
      <x:c r="F243" s="192" t="str">
        <x:f>'Raw Data'!F243</x:f>
        <x:v>Repeat User</x:v>
      </x:c>
      <x:c r="G243" s="192" t="str">
        <x:f>'Raw Data'!G243</x:f>
        <x:v>Repeat User Customer 32</x:v>
      </x:c>
      <x:c r="H243" s="192" t="n">
        <x:f>'Raw Data'!H243</x:f>
        <x:v>81</x:v>
      </x:c>
      <x:c r="I243" s="195" t="n">
        <x:f>'Raw Data'!I243</x:f>
        <x:v>535</x:v>
      </x:c>
      <x:c r="J243" s="196" t="n">
        <x:f>'Raw Data'!J243</x:f>
        <x:v>0.05</x:v>
      </x:c>
      <x:c r="K243" s="195" t="n">
        <x:f>'Raw Data'!K243</x:f>
        <x:v>43335</x:v>
      </x:c>
      <x:c r="L243" s="195" t="n">
        <x:f>'Raw Data'!L243</x:f>
        <x:v>41168.25</x:v>
      </x:c>
      <x:c r="M243" s="195" t="n">
        <x:f>'Raw Data'!M243</x:f>
        <x:v>30052.8225</x:v>
      </x:c>
      <x:c r="N243" s="195" t="n">
        <x:f>'Raw Data'!N243</x:f>
        <x:v>11115.427500000002</x:v>
      </x:c>
      <x:c r="O243" s="195" t="n">
        <x:f>'Raw Data'!O243</x:f>
        <x:v>5351.8725</x:v>
      </x:c>
      <x:c r="P243" s="195" t="n">
        <x:f>'Raw Data'!P243</x:f>
        <x:v>5763.555000000001</x:v>
      </x:c>
      <x:c r="Q243" s="195" t="n">
        <x:f>'Raw Data'!Q243</x:f>
        <x:v>43665.20985069327</x:v>
      </x:c>
      <x:c r="R243" s="196" t="n">
        <x:f t="shared" si="9">IFERROR(N243/L243,0)</x:f>
        <x:v>0.27</x:v>
      </x:c>
      <x:c r="S243" s="196" t="n">
        <x:f t="shared" si="10">IFERROR(P243/L243,0)</x:f>
        <x:v>0.14000000000000004</x:v>
      </x:c>
      <x:c r="T243" s="196" t="n">
        <x:f t="shared" si="11">IFERROR(L243/Q243,0)</x:f>
        <x:v>0.9428158055524924</x:v>
      </x:c>
    </x:row>
    <x:row r="244">
      <x:c r="A244" s="192" t="str">
        <x:f>'Raw Data'!A244</x:f>
        <x:v>ZOM-0240</x:v>
      </x:c>
      <x:c r="B244" s="193" t="n">
        <x:f>'Raw Data'!B244</x:f>
        <x:v>45897</x:v>
      </x:c>
      <x:c r="C244" s="236" t="str">
        <x:f>'Raw Data'!C244</x:f>
        <x:v>West</x:v>
      </x:c>
      <x:c r="D244" s="192" t="str">
        <x:f>'Raw Data'!D244</x:f>
        <x:v>Surat</x:v>
      </x:c>
      <x:c r="E244" s="192" t="str">
        <x:f>'Raw Data'!E244</x:f>
        <x:v>South Indian</x:v>
      </x:c>
      <x:c r="F244" s="192" t="str">
        <x:f>'Raw Data'!F244</x:f>
        <x:v>Budget</x:v>
      </x:c>
      <x:c r="G244" s="192" t="str">
        <x:f>'Raw Data'!G244</x:f>
        <x:v>Budget Customer 15</x:v>
      </x:c>
      <x:c r="H244" s="192" t="n">
        <x:f>'Raw Data'!H244</x:f>
        <x:v>118</x:v>
      </x:c>
      <x:c r="I244" s="195" t="n">
        <x:f>'Raw Data'!I244</x:f>
        <x:v>321</x:v>
      </x:c>
      <x:c r="J244" s="196" t="n">
        <x:f>'Raw Data'!J244</x:f>
        <x:v>0.08</x:v>
      </x:c>
      <x:c r="K244" s="195" t="n">
        <x:f>'Raw Data'!K244</x:f>
        <x:v>37878</x:v>
      </x:c>
      <x:c r="L244" s="195" t="n">
        <x:f>'Raw Data'!L244</x:f>
        <x:v>34847.76</x:v>
      </x:c>
      <x:c r="M244" s="195" t="n">
        <x:f>'Raw Data'!M244</x:f>
        <x:v>25787.3424</x:v>
      </x:c>
      <x:c r="N244" s="195" t="n">
        <x:f>'Raw Data'!N244</x:f>
        <x:v>9060.4176</x:v>
      </x:c>
      <x:c r="O244" s="195" t="n">
        <x:f>'Raw Data'!O244</x:f>
        <x:v>4530.2088</x:v>
      </x:c>
      <x:c r="P244" s="195" t="n">
        <x:f>'Raw Data'!P244</x:f>
        <x:v>4530.2088</x:v>
      </x:c>
      <x:c r="Q244" s="195" t="n">
        <x:f>'Raw Data'!Q244</x:f>
        <x:v>34984.4820648011</x:v>
      </x:c>
      <x:c r="R244" s="196" t="n">
        <x:f t="shared" si="9">IFERROR(N244/L244,0)</x:f>
        <x:v>0.26</x:v>
      </x:c>
      <x:c r="S244" s="196" t="n">
        <x:f t="shared" si="10">IFERROR(P244/L244,0)</x:f>
        <x:v>0.13</x:v>
      </x:c>
      <x:c r="T244" s="196" t="n">
        <x:f t="shared" si="11">IFERROR(L244/Q244,0)</x:f>
        <x:v>0.9960919225687591</x:v>
      </x:c>
    </x:row>
    <x:row r="245">
      <x:c r="A245" s="192" t="str">
        <x:f>'Raw Data'!A245</x:f>
        <x:v>ZOM-0241</x:v>
      </x:c>
      <x:c r="B245" s="193" t="n">
        <x:f>'Raw Data'!B245</x:f>
        <x:v>45898</x:v>
      </x:c>
      <x:c r="C245" s="236" t="str">
        <x:f>'Raw Data'!C245</x:f>
        <x:v>West</x:v>
      </x:c>
      <x:c r="D245" s="192" t="str">
        <x:f>'Raw Data'!D245</x:f>
        <x:v>Pune</x:v>
      </x:c>
      <x:c r="E245" s="192" t="str">
        <x:f>'Raw Data'!E245</x:f>
        <x:v>Desserts</x:v>
      </x:c>
      <x:c r="F245" s="192" t="str">
        <x:f>'Raw Data'!F245</x:f>
        <x:v>Corporate</x:v>
      </x:c>
      <x:c r="G245" s="192" t="str">
        <x:f>'Raw Data'!G245</x:f>
        <x:v>Corporate Customer 24</x:v>
      </x:c>
      <x:c r="H245" s="192" t="n">
        <x:f>'Raw Data'!H245</x:f>
        <x:v>169</x:v>
      </x:c>
      <x:c r="I245" s="195" t="n">
        <x:f>'Raw Data'!I245</x:f>
        <x:v>296</x:v>
      </x:c>
      <x:c r="J245" s="196" t="n">
        <x:f>'Raw Data'!J245</x:f>
        <x:v>0</x:v>
      </x:c>
      <x:c r="K245" s="195" t="n">
        <x:f>'Raw Data'!K245</x:f>
        <x:v>50024</x:v>
      </x:c>
      <x:c r="L245" s="195" t="n">
        <x:f>'Raw Data'!L245</x:f>
        <x:v>50024</x:v>
      </x:c>
      <x:c r="M245" s="195" t="n">
        <x:f>'Raw Data'!M245</x:f>
        <x:v>34516.56</x:v>
      </x:c>
      <x:c r="N245" s="195" t="n">
        <x:f>'Raw Data'!N245</x:f>
        <x:v>15507.440000000002</x:v>
      </x:c>
      <x:c r="O245" s="195" t="n">
        <x:f>'Raw Data'!O245</x:f>
        <x:v>6503.12</x:v>
      </x:c>
      <x:c r="P245" s="195" t="n">
        <x:f>'Raw Data'!P245</x:f>
        <x:v>9004.320000000003</x:v>
      </x:c>
      <x:c r="Q245" s="195" t="n">
        <x:f>'Raw Data'!Q245</x:f>
        <x:v>53284.2012383627</x:v>
      </x:c>
      <x:c r="R245" s="196" t="n">
        <x:f t="shared" si="9">IFERROR(N245/L245,0)</x:f>
        <x:v>0.31000000000000005</x:v>
      </x:c>
      <x:c r="S245" s="196" t="n">
        <x:f t="shared" si="10">IFERROR(P245/L245,0)</x:f>
        <x:v>0.18000000000000008</x:v>
      </x:c>
      <x:c r="T245" s="196" t="n">
        <x:f t="shared" si="11">IFERROR(L245/Q245,0)</x:f>
        <x:v>0.9388148613924333</x:v>
      </x:c>
    </x:row>
    <x:row r="246">
      <x:c r="A246" s="192" t="str">
        <x:f>'Raw Data'!A246</x:f>
        <x:v>ZOM-0242</x:v>
      </x:c>
      <x:c r="B246" s="193" t="n">
        <x:f>'Raw Data'!B246</x:f>
        <x:v>45899</x:v>
      </x:c>
      <x:c r="C246" s="236" t="str">
        <x:f>'Raw Data'!C246</x:f>
        <x:v>West</x:v>
      </x:c>
      <x:c r="D246" s="192" t="str">
        <x:f>'Raw Data'!D246</x:f>
        <x:v>Mumbai</x:v>
      </x:c>
      <x:c r="E246" s="192" t="str">
        <x:f>'Raw Data'!E246</x:f>
        <x:v>Desserts</x:v>
      </x:c>
      <x:c r="F246" s="192" t="str">
        <x:f>'Raw Data'!F246</x:f>
        <x:v>Gold User</x:v>
      </x:c>
      <x:c r="G246" s="192" t="str">
        <x:f>'Raw Data'!G246</x:f>
        <x:v>Gold User Customer 56</x:v>
      </x:c>
      <x:c r="H246" s="192" t="n">
        <x:f>'Raw Data'!H246</x:f>
        <x:v>119</x:v>
      </x:c>
      <x:c r="I246" s="195" t="n">
        <x:f>'Raw Data'!I246</x:f>
        <x:v>349</x:v>
      </x:c>
      <x:c r="J246" s="196" t="n">
        <x:f>'Raw Data'!J246</x:f>
        <x:v>0.009999999999999998</x:v>
      </x:c>
      <x:c r="K246" s="195" t="n">
        <x:f>'Raw Data'!K246</x:f>
        <x:v>41531</x:v>
      </x:c>
      <x:c r="L246" s="195" t="n">
        <x:f>'Raw Data'!L246</x:f>
        <x:v>41115.69</x:v>
      </x:c>
      <x:c r="M246" s="195" t="n">
        <x:f>'Raw Data'!M246</x:f>
        <x:v>28369.8261</x:v>
      </x:c>
      <x:c r="N246" s="195" t="n">
        <x:f>'Raw Data'!N246</x:f>
        <x:v>12745.863900000004</x:v>
      </x:c>
      <x:c r="O246" s="195" t="n">
        <x:f>'Raw Data'!O246</x:f>
        <x:v>5345.0397</x:v>
      </x:c>
      <x:c r="P246" s="195" t="n">
        <x:f>'Raw Data'!P246</x:f>
        <x:v>7400.824200000004</x:v>
      </x:c>
      <x:c r="Q246" s="195" t="n">
        <x:f>'Raw Data'!Q246</x:f>
        <x:v>42336.9820263841</x:v>
      </x:c>
      <x:c r="R246" s="196" t="n">
        <x:f t="shared" si="9">IFERROR(N246/L246,0)</x:f>
        <x:v>0.31000000000000005</x:v>
      </x:c>
      <x:c r="S246" s="196" t="n">
        <x:f t="shared" si="10">IFERROR(P246/L246,0)</x:f>
        <x:v>0.18000000000000008</x:v>
      </x:c>
      <x:c r="T246" s="196" t="n">
        <x:f t="shared" si="11">IFERROR(L246/Q246,0)</x:f>
        <x:v>0.9711530683594074</x:v>
      </x:c>
    </x:row>
    <x:row r="247">
      <x:c r="A247" s="192" t="str">
        <x:f>'Raw Data'!A247</x:f>
        <x:v>ZOM-0243</x:v>
      </x:c>
      <x:c r="B247" s="193" t="n">
        <x:f>'Raw Data'!B247</x:f>
        <x:v>45900</x:v>
      </x:c>
      <x:c r="C247" s="236" t="str">
        <x:f>'Raw Data'!C247</x:f>
        <x:v>Metro</x:v>
      </x:c>
      <x:c r="D247" s="192" t="str">
        <x:f>'Raw Data'!D247</x:f>
        <x:v>Hyderabad</x:v>
      </x:c>
      <x:c r="E247" s="192" t="str">
        <x:f>'Raw Data'!E247</x:f>
        <x:v>Biryani</x:v>
      </x:c>
      <x:c r="F247" s="192" t="str">
        <x:f>'Raw Data'!F247</x:f>
        <x:v>Student</x:v>
      </x:c>
      <x:c r="G247" s="192" t="str">
        <x:f>'Raw Data'!G247</x:f>
        <x:v>Student Customer 38</x:v>
      </x:c>
      <x:c r="H247" s="192" t="n">
        <x:f>'Raw Data'!H247</x:f>
        <x:v>71</x:v>
      </x:c>
      <x:c r="I247" s="195" t="n">
        <x:f>'Raw Data'!I247</x:f>
        <x:v>464</x:v>
      </x:c>
      <x:c r="J247" s="196" t="n">
        <x:f>'Raw Data'!J247</x:f>
        <x:v>0.09999999999999999</x:v>
      </x:c>
      <x:c r="K247" s="195" t="n">
        <x:f>'Raw Data'!K247</x:f>
        <x:v>32944</x:v>
      </x:c>
      <x:c r="L247" s="195" t="n">
        <x:f>'Raw Data'!L247</x:f>
        <x:v>29649.600000000002</x:v>
      </x:c>
      <x:c r="M247" s="195" t="n">
        <x:f>'Raw Data'!M247</x:f>
        <x:v>21940.704</x:v>
      </x:c>
      <x:c r="N247" s="195" t="n">
        <x:f>'Raw Data'!N247</x:f>
        <x:v>7708.896000000001</x:v>
      </x:c>
      <x:c r="O247" s="195" t="n">
        <x:f>'Raw Data'!O247</x:f>
        <x:v>3854.4480000000003</x:v>
      </x:c>
      <x:c r="P247" s="195" t="n">
        <x:f>'Raw Data'!P247</x:f>
        <x:v>3854.4480000000003</x:v>
      </x:c>
      <x:c r="Q247" s="195" t="n">
        <x:f>'Raw Data'!Q247</x:f>
        <x:v>32534.041352784217</x:v>
      </x:c>
      <x:c r="R247" s="196" t="n">
        <x:f t="shared" si="9">IFERROR(N247/L247,0)</x:f>
        <x:v>0.26</x:v>
      </x:c>
      <x:c r="S247" s="196" t="n">
        <x:f t="shared" si="10">IFERROR(P247/L247,0)</x:f>
        <x:v>0.13</x:v>
      </x:c>
      <x:c r="T247" s="196" t="n">
        <x:f t="shared" si="11">IFERROR(L247/Q247,0)</x:f>
        <x:v>0.911340822324941</x:v>
      </x:c>
    </x:row>
    <x:row r="248">
      <x:c r="A248" s="192" t="str">
        <x:f>'Raw Data'!A248</x:f>
        <x:v>ZOM-0244</x:v>
      </x:c>
      <x:c r="B248" s="193" t="n">
        <x:f>'Raw Data'!B248</x:f>
        <x:v>45901</x:v>
      </x:c>
      <x:c r="C248" s="236" t="str">
        <x:f>'Raw Data'!C248</x:f>
        <x:v>East</x:v>
      </x:c>
      <x:c r="D248" s="192" t="str">
        <x:f>'Raw Data'!D248</x:f>
        <x:v>Guwahati</x:v>
      </x:c>
      <x:c r="E248" s="192" t="str">
        <x:f>'Raw Data'!E248</x:f>
        <x:v>Burgers</x:v>
      </x:c>
      <x:c r="F248" s="192" t="str">
        <x:f>'Raw Data'!F248</x:f>
        <x:v>New User</x:v>
      </x:c>
      <x:c r="G248" s="192" t="str">
        <x:f>'Raw Data'!G248</x:f>
        <x:v>New User Customer 39</x:v>
      </x:c>
      <x:c r="H248" s="192" t="n">
        <x:f>'Raw Data'!H248</x:f>
        <x:v>73</x:v>
      </x:c>
      <x:c r="I248" s="195" t="n">
        <x:f>'Raw Data'!I248</x:f>
        <x:v>475</x:v>
      </x:c>
      <x:c r="J248" s="196" t="n">
        <x:f>'Raw Data'!J248</x:f>
        <x:v>0.08</x:v>
      </x:c>
      <x:c r="K248" s="195" t="n">
        <x:f>'Raw Data'!K248</x:f>
        <x:v>34675</x:v>
      </x:c>
      <x:c r="L248" s="195" t="n">
        <x:f>'Raw Data'!L248</x:f>
        <x:v>31901</x:v>
      </x:c>
      <x:c r="M248" s="195" t="n">
        <x:f>'Raw Data'!M248</x:f>
        <x:v>23606.739999999998</x:v>
      </x:c>
      <x:c r="N248" s="195" t="n">
        <x:f>'Raw Data'!N248</x:f>
        <x:v>8294.260000000002</x:v>
      </x:c>
      <x:c r="O248" s="195" t="n">
        <x:f>'Raw Data'!O248</x:f>
        <x:v>4147.13</x:v>
      </x:c>
      <x:c r="P248" s="195" t="n">
        <x:f>'Raw Data'!P248</x:f>
        <x:v>4147.130000000002</x:v>
      </x:c>
      <x:c r="Q248" s="195" t="n">
        <x:f>'Raw Data'!Q248</x:f>
        <x:v>33938.63476602962</x:v>
      </x:c>
      <x:c r="R248" s="196" t="n">
        <x:f t="shared" si="9">IFERROR(N248/L248,0)</x:f>
        <x:v>0.26000000000000006</x:v>
      </x:c>
      <x:c r="S248" s="196" t="n">
        <x:f t="shared" si="10">IFERROR(P248/L248,0)</x:f>
        <x:v>0.13000000000000006</x:v>
      </x:c>
      <x:c r="T248" s="196" t="n">
        <x:f t="shared" si="11">IFERROR(L248/Q248,0)</x:f>
        <x:v>0.9399612040944805</x:v>
      </x:c>
    </x:row>
    <x:row r="249">
      <x:c r="A249" s="192" t="str">
        <x:f>'Raw Data'!A249</x:f>
        <x:v>ZOM-0245</x:v>
      </x:c>
      <x:c r="B249" s="193" t="n">
        <x:f>'Raw Data'!B249</x:f>
        <x:v>45902</x:v>
      </x:c>
      <x:c r="C249" s="236" t="str">
        <x:f>'Raw Data'!C249</x:f>
        <x:v>West</x:v>
      </x:c>
      <x:c r="D249" s="192" t="str">
        <x:f>'Raw Data'!D249</x:f>
        <x:v>Ahmedabad</x:v>
      </x:c>
      <x:c r="E249" s="192" t="str">
        <x:f>'Raw Data'!E249</x:f>
        <x:v>Snacks</x:v>
      </x:c>
      <x:c r="F249" s="192" t="str">
        <x:f>'Raw Data'!F249</x:f>
        <x:v>Repeat User</x:v>
      </x:c>
      <x:c r="G249" s="192" t="str">
        <x:f>'Raw Data'!G249</x:f>
        <x:v>Repeat User Customer 04</x:v>
      </x:c>
      <x:c r="H249" s="192" t="n">
        <x:f>'Raw Data'!H249</x:f>
        <x:v>154</x:v>
      </x:c>
      <x:c r="I249" s="195" t="n">
        <x:f>'Raw Data'!I249</x:f>
        <x:v>224</x:v>
      </x:c>
      <x:c r="J249" s="196" t="n">
        <x:f>'Raw Data'!J249</x:f>
        <x:v>0.030000000000000002</x:v>
      </x:c>
      <x:c r="K249" s="195" t="n">
        <x:f>'Raw Data'!K249</x:f>
        <x:v>34496</x:v>
      </x:c>
      <x:c r="L249" s="195" t="n">
        <x:f>'Raw Data'!L249</x:f>
        <x:v>33461.12</x:v>
      </x:c>
      <x:c r="M249" s="195" t="n">
        <x:f>'Raw Data'!M249</x:f>
        <x:v>24761.2288</x:v>
      </x:c>
      <x:c r="N249" s="195" t="n">
        <x:f>'Raw Data'!N249</x:f>
        <x:v>8699.891200000002</x:v>
      </x:c>
      <x:c r="O249" s="195" t="n">
        <x:f>'Raw Data'!O249</x:f>
        <x:v>4349.945600000001</x:v>
      </x:c>
      <x:c r="P249" s="195" t="n">
        <x:f>'Raw Data'!P249</x:f>
        <x:v>4349.945600000001</x:v>
      </x:c>
      <x:c r="Q249" s="195" t="n">
        <x:f>'Raw Data'!Q249</x:f>
        <x:v>35113.8164735506</x:v>
      </x:c>
      <x:c r="R249" s="196" t="n">
        <x:f t="shared" si="9">IFERROR(N249/L249,0)</x:f>
        <x:v>0.26</x:v>
      </x:c>
      <x:c r="S249" s="196" t="n">
        <x:f t="shared" si="10">IFERROR(P249/L249,0)</x:f>
        <x:v>0.13</x:v>
      </x:c>
      <x:c r="T249" s="196" t="n">
        <x:f t="shared" si="11">IFERROR(L249/Q249,0)</x:f>
        <x:v>0.9529331573856267</x:v>
      </x:c>
    </x:row>
    <x:row r="250">
      <x:c r="A250" s="192" t="str">
        <x:f>'Raw Data'!A250</x:f>
        <x:v>ZOM-0246</x:v>
      </x:c>
      <x:c r="B250" s="193" t="n">
        <x:f>'Raw Data'!B250</x:f>
        <x:v>45903</x:v>
      </x:c>
      <x:c r="C250" s="236" t="str">
        <x:f>'Raw Data'!C250</x:f>
        <x:v>Metro</x:v>
      </x:c>
      <x:c r="D250" s="192" t="str">
        <x:f>'Raw Data'!D250</x:f>
        <x:v>Mumbai</x:v>
      </x:c>
      <x:c r="E250" s="192" t="str">
        <x:f>'Raw Data'!E250</x:f>
        <x:v>Desserts</x:v>
      </x:c>
      <x:c r="F250" s="192" t="str">
        <x:f>'Raw Data'!F250</x:f>
        <x:v>New User</x:v>
      </x:c>
      <x:c r="G250" s="192" t="str">
        <x:f>'Raw Data'!G250</x:f>
        <x:v>New User Customer 37</x:v>
      </x:c>
      <x:c r="H250" s="192" t="n">
        <x:f>'Raw Data'!H250</x:f>
        <x:v>93</x:v>
      </x:c>
      <x:c r="I250" s="195" t="n">
        <x:f>'Raw Data'!I250</x:f>
        <x:v>315</x:v>
      </x:c>
      <x:c r="J250" s="196" t="n">
        <x:f>'Raw Data'!J250</x:f>
        <x:v>0.08</x:v>
      </x:c>
      <x:c r="K250" s="195" t="n">
        <x:f>'Raw Data'!K250</x:f>
        <x:v>29295</x:v>
      </x:c>
      <x:c r="L250" s="195" t="n">
        <x:f>'Raw Data'!L250</x:f>
        <x:v>26951.4</x:v>
      </x:c>
      <x:c r="M250" s="195" t="n">
        <x:f>'Raw Data'!M250</x:f>
        <x:v>18596.466</x:v>
      </x:c>
      <x:c r="N250" s="195" t="n">
        <x:f>'Raw Data'!N250</x:f>
        <x:v>8354.934000000001</x:v>
      </x:c>
      <x:c r="O250" s="195" t="n">
        <x:f>'Raw Data'!O250</x:f>
        <x:v>3503.6820000000002</x:v>
      </x:c>
      <x:c r="P250" s="195" t="n">
        <x:f>'Raw Data'!P250</x:f>
        <x:v>4851.252</x:v>
      </x:c>
      <x:c r="Q250" s="195" t="n">
        <x:f>'Raw Data'!Q250</x:f>
        <x:v>28534.39174867713</x:v>
      </x:c>
      <x:c r="R250" s="196" t="n">
        <x:f t="shared" si="9">IFERROR(N250/L250,0)</x:f>
        <x:v>0.31</x:v>
      </x:c>
      <x:c r="S250" s="196" t="n">
        <x:f t="shared" si="10">IFERROR(P250/L250,0)</x:f>
        <x:v>0.18</x:v>
      </x:c>
      <x:c r="T250" s="196" t="n">
        <x:f t="shared" si="11">IFERROR(L250/Q250,0)</x:f>
        <x:v>0.9445233750689458</x:v>
      </x:c>
    </x:row>
    <x:row r="251">
      <x:c r="A251" s="192" t="str">
        <x:f>'Raw Data'!A251</x:f>
        <x:v>ZOM-0247</x:v>
      </x:c>
      <x:c r="B251" s="193" t="n">
        <x:f>'Raw Data'!B251</x:f>
        <x:v>45904</x:v>
      </x:c>
      <x:c r="C251" s="236" t="str">
        <x:f>'Raw Data'!C251</x:f>
        <x:v>East</x:v>
      </x:c>
      <x:c r="D251" s="192" t="str">
        <x:f>'Raw Data'!D251</x:f>
        <x:v>Ranchi</x:v>
      </x:c>
      <x:c r="E251" s="192" t="str">
        <x:f>'Raw Data'!E251</x:f>
        <x:v>Pizza</x:v>
      </x:c>
      <x:c r="F251" s="192" t="str">
        <x:f>'Raw Data'!F251</x:f>
        <x:v>New User</x:v>
      </x:c>
      <x:c r="G251" s="192" t="str">
        <x:f>'Raw Data'!G251</x:f>
        <x:v>New User Customer 32</x:v>
      </x:c>
      <x:c r="H251" s="192" t="n">
        <x:f>'Raw Data'!H251</x:f>
        <x:v>68</x:v>
      </x:c>
      <x:c r="I251" s="195" t="n">
        <x:f>'Raw Data'!I251</x:f>
        <x:v>616</x:v>
      </x:c>
      <x:c r="J251" s="196" t="n">
        <x:f>'Raw Data'!J251</x:f>
        <x:v>0.08</x:v>
      </x:c>
      <x:c r="K251" s="195" t="n">
        <x:f>'Raw Data'!K251</x:f>
        <x:v>41888</x:v>
      </x:c>
      <x:c r="L251" s="195" t="n">
        <x:f>'Raw Data'!L251</x:f>
        <x:v>38536.96</x:v>
      </x:c>
      <x:c r="M251" s="195" t="n">
        <x:f>'Raw Data'!M251</x:f>
        <x:v>28517.3504</x:v>
      </x:c>
      <x:c r="N251" s="195" t="n">
        <x:f>'Raw Data'!N251</x:f>
        <x:v>10019.6096</x:v>
      </x:c>
      <x:c r="O251" s="195" t="n">
        <x:f>'Raw Data'!O251</x:f>
        <x:v>5009.8048</x:v>
      </x:c>
      <x:c r="P251" s="195" t="n">
        <x:f>'Raw Data'!P251</x:f>
        <x:v>5009.8048</x:v>
      </x:c>
      <x:c r="Q251" s="195" t="n">
        <x:f>'Raw Data'!Q251</x:f>
        <x:v>40639.6705648666</x:v>
      </x:c>
      <x:c r="R251" s="196" t="n">
        <x:f t="shared" si="9">IFERROR(N251/L251,0)</x:f>
        <x:v>0.26</x:v>
      </x:c>
      <x:c r="S251" s="196" t="n">
        <x:f t="shared" si="10">IFERROR(P251/L251,0)</x:f>
        <x:v>0.13</x:v>
      </x:c>
      <x:c r="T251" s="196" t="n">
        <x:f t="shared" si="11">IFERROR(L251/Q251,0)</x:f>
        <x:v>0.9482596552668806</x:v>
      </x:c>
    </x:row>
    <x:row r="252">
      <x:c r="A252" s="192" t="str">
        <x:f>'Raw Data'!A252</x:f>
        <x:v>ZOM-0248</x:v>
      </x:c>
      <x:c r="B252" s="193" t="n">
        <x:f>'Raw Data'!B252</x:f>
        <x:v>45905</x:v>
      </x:c>
      <x:c r="C252" s="236" t="str">
        <x:f>'Raw Data'!C252</x:f>
        <x:v>South</x:v>
      </x:c>
      <x:c r="D252" s="192" t="str">
        <x:f>'Raw Data'!D252</x:f>
        <x:v>Bengaluru</x:v>
      </x:c>
      <x:c r="E252" s="192" t="str">
        <x:f>'Raw Data'!E252</x:f>
        <x:v>Beverages</x:v>
      </x:c>
      <x:c r="F252" s="192" t="str">
        <x:f>'Raw Data'!F252</x:f>
        <x:v>Student</x:v>
      </x:c>
      <x:c r="G252" s="192" t="str">
        <x:f>'Raw Data'!G252</x:f>
        <x:v>Student Customer 51</x:v>
      </x:c>
      <x:c r="H252" s="192" t="n">
        <x:f>'Raw Data'!H252</x:f>
        <x:v>65</x:v>
      </x:c>
      <x:c r="I252" s="195" t="n">
        <x:f>'Raw Data'!I252</x:f>
        <x:v>250</x:v>
      </x:c>
      <x:c r="J252" s="196" t="n">
        <x:f>'Raw Data'!J252</x:f>
        <x:v>0.13</x:v>
      </x:c>
      <x:c r="K252" s="195" t="n">
        <x:f>'Raw Data'!K252</x:f>
        <x:v>16250</x:v>
      </x:c>
      <x:c r="L252" s="195" t="n">
        <x:f>'Raw Data'!L252</x:f>
        <x:v>14137.5</x:v>
      </x:c>
      <x:c r="M252" s="195" t="n">
        <x:f>'Raw Data'!M252</x:f>
        <x:v>9613.5</x:v>
      </x:c>
      <x:c r="N252" s="195" t="n">
        <x:f>'Raw Data'!N252</x:f>
        <x:v>4524</x:v>
      </x:c>
      <x:c r="O252" s="195" t="n">
        <x:f>'Raw Data'!O252</x:f>
        <x:v>1837.875</x:v>
      </x:c>
      <x:c r="P252" s="195" t="n">
        <x:f>'Raw Data'!P252</x:f>
        <x:v>2686.125</x:v>
      </x:c>
      <x:c r="Q252" s="195" t="n">
        <x:f>'Raw Data'!Q252</x:f>
        <x:v>15579.70523580492</x:v>
      </x:c>
      <x:c r="R252" s="196" t="n">
        <x:f t="shared" si="9">IFERROR(N252/L252,0)</x:f>
        <x:v>0.32</x:v>
      </x:c>
      <x:c r="S252" s="196" t="n">
        <x:f t="shared" si="10">IFERROR(P252/L252,0)</x:f>
        <x:v>0.19</x:v>
      </x:c>
      <x:c r="T252" s="196" t="n">
        <x:f t="shared" si="11">IFERROR(L252/Q252,0)</x:f>
        <x:v>0.9074305184869302</x:v>
      </x:c>
    </x:row>
    <x:row r="253">
      <x:c r="A253" s="192" t="str">
        <x:f>'Raw Data'!A253</x:f>
        <x:v>ZOM-0249</x:v>
      </x:c>
      <x:c r="B253" s="193" t="n">
        <x:f>'Raw Data'!B253</x:f>
        <x:v>45906</x:v>
      </x:c>
      <x:c r="C253" s="236" t="str">
        <x:f>'Raw Data'!C253</x:f>
        <x:v>West</x:v>
      </x:c>
      <x:c r="D253" s="192" t="str">
        <x:f>'Raw Data'!D253</x:f>
        <x:v>Pune</x:v>
      </x:c>
      <x:c r="E253" s="192" t="str">
        <x:f>'Raw Data'!E253</x:f>
        <x:v>Snacks</x:v>
      </x:c>
      <x:c r="F253" s="192" t="str">
        <x:f>'Raw Data'!F253</x:f>
        <x:v>Budget</x:v>
      </x:c>
      <x:c r="G253" s="192" t="str">
        <x:f>'Raw Data'!G253</x:f>
        <x:v>Budget Customer 32</x:v>
      </x:c>
      <x:c r="H253" s="192" t="n">
        <x:f>'Raw Data'!H253</x:f>
        <x:v>116</x:v>
      </x:c>
      <x:c r="I253" s="195" t="n">
        <x:f>'Raw Data'!I253</x:f>
        <x:v>225</x:v>
      </x:c>
      <x:c r="J253" s="196" t="n">
        <x:f>'Raw Data'!J253</x:f>
        <x:v>0.1</x:v>
      </x:c>
      <x:c r="K253" s="195" t="n">
        <x:f>'Raw Data'!K253</x:f>
        <x:v>26100</x:v>
      </x:c>
      <x:c r="L253" s="195" t="n">
        <x:f>'Raw Data'!L253</x:f>
        <x:v>23490</x:v>
      </x:c>
      <x:c r="M253" s="195" t="n">
        <x:f>'Raw Data'!M253</x:f>
        <x:v>17382.6</x:v>
      </x:c>
      <x:c r="N253" s="195" t="n">
        <x:f>'Raw Data'!N253</x:f>
        <x:v>6107.4000000000015</x:v>
      </x:c>
      <x:c r="O253" s="195" t="n">
        <x:f>'Raw Data'!O253</x:f>
        <x:v>3053.7000000000003</x:v>
      </x:c>
      <x:c r="P253" s="195" t="n">
        <x:f>'Raw Data'!P253</x:f>
        <x:v>3053.700000000001</x:v>
      </x:c>
      <x:c r="Q253" s="195" t="n">
        <x:f>'Raw Data'!Q253</x:f>
        <x:v>25085.84138225324</x:v>
      </x:c>
      <x:c r="R253" s="196" t="n">
        <x:f t="shared" si="9">IFERROR(N253/L253,0)</x:f>
        <x:v>0.26000000000000006</x:v>
      </x:c>
      <x:c r="S253" s="196" t="n">
        <x:f t="shared" si="10">IFERROR(P253/L253,0)</x:f>
        <x:v>0.13000000000000006</x:v>
      </x:c>
      <x:c r="T253" s="196" t="n">
        <x:f t="shared" si="11">IFERROR(L253/Q253,0)</x:f>
        <x:v>0.9363847774552939</x:v>
      </x:c>
    </x:row>
    <x:row r="254">
      <x:c r="A254" s="192" t="str">
        <x:f>'Raw Data'!A254</x:f>
        <x:v>ZOM-0250</x:v>
      </x:c>
      <x:c r="B254" s="193" t="n">
        <x:f>'Raw Data'!B254</x:f>
        <x:v>45907</x:v>
      </x:c>
      <x:c r="C254" s="236" t="str">
        <x:f>'Raw Data'!C254</x:f>
        <x:v>Central</x:v>
      </x:c>
      <x:c r="D254" s="192" t="str">
        <x:f>'Raw Data'!D254</x:f>
        <x:v>Bhopal</x:v>
      </x:c>
      <x:c r="E254" s="192" t="str">
        <x:f>'Raw Data'!E254</x:f>
        <x:v>North Indian</x:v>
      </x:c>
      <x:c r="F254" s="192" t="str">
        <x:f>'Raw Data'!F254</x:f>
        <x:v>Corporate</x:v>
      </x:c>
      <x:c r="G254" s="192" t="str">
        <x:f>'Raw Data'!G254</x:f>
        <x:v>Corporate Customer 13</x:v>
      </x:c>
      <x:c r="H254" s="192" t="n">
        <x:f>'Raw Data'!H254</x:f>
        <x:v>125</x:v>
      </x:c>
      <x:c r="I254" s="195" t="n">
        <x:f>'Raw Data'!I254</x:f>
        <x:v>430</x:v>
      </x:c>
      <x:c r="J254" s="196" t="n">
        <x:f>'Raw Data'!J254</x:f>
        <x:v>0.02</x:v>
      </x:c>
      <x:c r="K254" s="195" t="n">
        <x:f>'Raw Data'!K254</x:f>
        <x:v>53750</x:v>
      </x:c>
      <x:c r="L254" s="195" t="n">
        <x:f>'Raw Data'!L254</x:f>
        <x:v>52675</x:v>
      </x:c>
      <x:c r="M254" s="195" t="n">
        <x:f>'Raw Data'!M254</x:f>
        <x:v>38452.75</x:v>
      </x:c>
      <x:c r="N254" s="195" t="n">
        <x:f>'Raw Data'!N254</x:f>
        <x:v>14222.25</x:v>
      </x:c>
      <x:c r="O254" s="195" t="n">
        <x:f>'Raw Data'!O254</x:f>
        <x:v>6847.75</x:v>
      </x:c>
      <x:c r="P254" s="195" t="n">
        <x:f>'Raw Data'!P254</x:f>
        <x:v>7374.5</x:v>
      </x:c>
      <x:c r="Q254" s="195" t="n">
        <x:f>'Raw Data'!Q254</x:f>
        <x:v>58730.71881377041</x:v>
      </x:c>
      <x:c r="R254" s="196" t="n">
        <x:f t="shared" si="9">IFERROR(N254/L254,0)</x:f>
        <x:v>0.27</x:v>
      </x:c>
      <x:c r="S254" s="196" t="n">
        <x:f t="shared" si="10">IFERROR(P254/L254,0)</x:f>
        <x:v>0.14</x:v>
      </x:c>
      <x:c r="T254" s="196" t="n">
        <x:f t="shared" si="11">IFERROR(L254/Q254,0)</x:f>
        <x:v>0.8968900954035226</x:v>
      </x:c>
    </x:row>
    <x:row r="255">
      <x:c r="A255" s="192" t="str">
        <x:f>'Raw Data'!A255</x:f>
        <x:v>ZOM-0251</x:v>
      </x:c>
      <x:c r="B255" s="193" t="n">
        <x:f>'Raw Data'!B255</x:f>
        <x:v>45908</x:v>
      </x:c>
      <x:c r="C255" s="236" t="str">
        <x:f>'Raw Data'!C255</x:f>
        <x:v>Metro</x:v>
      </x:c>
      <x:c r="D255" s="192" t="str">
        <x:f>'Raw Data'!D255</x:f>
        <x:v>Mumbai</x:v>
      </x:c>
      <x:c r="E255" s="192" t="str">
        <x:f>'Raw Data'!E255</x:f>
        <x:v>Beverages</x:v>
      </x:c>
      <x:c r="F255" s="192" t="str">
        <x:f>'Raw Data'!F255</x:f>
        <x:v>Repeat User</x:v>
      </x:c>
      <x:c r="G255" s="192" t="str">
        <x:f>'Raw Data'!G255</x:f>
        <x:v>Repeat User Customer 11</x:v>
      </x:c>
      <x:c r="H255" s="192" t="n">
        <x:f>'Raw Data'!H255</x:f>
        <x:v>117</x:v>
      </x:c>
      <x:c r="I255" s="195" t="n">
        <x:f>'Raw Data'!I255</x:f>
        <x:v>189</x:v>
      </x:c>
      <x:c r="J255" s="196" t="n">
        <x:f>'Raw Data'!J255</x:f>
        <x:v>0.05</x:v>
      </x:c>
      <x:c r="K255" s="195" t="n">
        <x:f>'Raw Data'!K255</x:f>
        <x:v>22113</x:v>
      </x:c>
      <x:c r="L255" s="195" t="n">
        <x:f>'Raw Data'!L255</x:f>
        <x:v>21007.35</x:v>
      </x:c>
      <x:c r="M255" s="195" t="n">
        <x:f>'Raw Data'!M255</x:f>
        <x:v>14284.997999999998</x:v>
      </x:c>
      <x:c r="N255" s="195" t="n">
        <x:f>'Raw Data'!N255</x:f>
        <x:v>6722.352000000001</x:v>
      </x:c>
      <x:c r="O255" s="195" t="n">
        <x:f>'Raw Data'!O255</x:f>
        <x:v>2730.9555</x:v>
      </x:c>
      <x:c r="P255" s="195" t="n">
        <x:f>'Raw Data'!P255</x:f>
        <x:v>3991.3965000000007</x:v>
      </x:c>
      <x:c r="Q255" s="195" t="n">
        <x:f>'Raw Data'!Q255</x:f>
        <x:v>23285.72382930297</x:v>
      </x:c>
      <x:c r="R255" s="196" t="n">
        <x:f t="shared" si="9">IFERROR(N255/L255,0)</x:f>
        <x:v>0.32000000000000006</x:v>
      </x:c>
      <x:c r="S255" s="196" t="n">
        <x:f t="shared" si="10">IFERROR(P255/L255,0)</x:f>
        <x:v>0.19000000000000006</x:v>
      </x:c>
      <x:c r="T255" s="196" t="n">
        <x:f t="shared" si="11">IFERROR(L255/Q255,0)</x:f>
        <x:v>0.9021557652231603</x:v>
      </x:c>
    </x:row>
    <x:row r="256">
      <x:c r="A256" s="192" t="str">
        <x:f>'Raw Data'!A256</x:f>
        <x:v>ZOM-0252</x:v>
      </x:c>
      <x:c r="B256" s="193" t="n">
        <x:f>'Raw Data'!B256</x:f>
        <x:v>45909</x:v>
      </x:c>
      <x:c r="C256" s="236" t="str">
        <x:f>'Raw Data'!C256</x:f>
        <x:v>North</x:v>
      </x:c>
      <x:c r="D256" s="192" t="str">
        <x:f>'Raw Data'!D256</x:f>
        <x:v>Gurugram</x:v>
      </x:c>
      <x:c r="E256" s="192" t="str">
        <x:f>'Raw Data'!E256</x:f>
        <x:v>Desserts</x:v>
      </x:c>
      <x:c r="F256" s="192" t="str">
        <x:f>'Raw Data'!F256</x:f>
        <x:v>Budget</x:v>
      </x:c>
      <x:c r="G256" s="192" t="str">
        <x:f>'Raw Data'!G256</x:f>
        <x:v>Budget Customer 15</x:v>
      </x:c>
      <x:c r="H256" s="192" t="n">
        <x:f>'Raw Data'!H256</x:f>
        <x:v>99</x:v>
      </x:c>
      <x:c r="I256" s="195" t="n">
        <x:f>'Raw Data'!I256</x:f>
        <x:v>309</x:v>
      </x:c>
      <x:c r="J256" s="196" t="n">
        <x:f>'Raw Data'!J256</x:f>
        <x:v>0.08</x:v>
      </x:c>
      <x:c r="K256" s="195" t="n">
        <x:f>'Raw Data'!K256</x:f>
        <x:v>30591</x:v>
      </x:c>
      <x:c r="L256" s="195" t="n">
        <x:f>'Raw Data'!L256</x:f>
        <x:v>28143.72</x:v>
      </x:c>
      <x:c r="M256" s="195" t="n">
        <x:f>'Raw Data'!M256</x:f>
        <x:v>19419.1668</x:v>
      </x:c>
      <x:c r="N256" s="195" t="n">
        <x:f>'Raw Data'!N256</x:f>
        <x:v>8724.553200000002</x:v>
      </x:c>
      <x:c r="O256" s="195" t="n">
        <x:f>'Raw Data'!O256</x:f>
        <x:v>3658.6836000000003</x:v>
      </x:c>
      <x:c r="P256" s="195" t="n">
        <x:f>'Raw Data'!P256</x:f>
        <x:v>5065.869600000002</x:v>
      </x:c>
      <x:c r="Q256" s="195" t="n">
        <x:f>'Raw Data'!Q256</x:f>
        <x:v>28591.879894947793</x:v>
      </x:c>
      <x:c r="R256" s="196" t="n">
        <x:f t="shared" si="9">IFERROR(N256/L256,0)</x:f>
        <x:v>0.31000000000000005</x:v>
      </x:c>
      <x:c r="S256" s="196" t="n">
        <x:f t="shared" si="10">IFERROR(P256/L256,0)</x:f>
        <x:v>0.18000000000000005</x:v>
      </x:c>
      <x:c r="T256" s="196" t="n">
        <x:f t="shared" si="11">IFERROR(L256/Q256,0)</x:f>
        <x:v>0.98432562333801</x:v>
      </x:c>
    </x:row>
    <x:row r="257">
      <x:c r="A257" s="192" t="str">
        <x:f>'Raw Data'!A257</x:f>
        <x:v>ZOM-0253</x:v>
      </x:c>
      <x:c r="B257" s="193" t="n">
        <x:f>'Raw Data'!B257</x:f>
        <x:v>45910</x:v>
      </x:c>
      <x:c r="C257" s="236" t="str">
        <x:f>'Raw Data'!C257</x:f>
        <x:v>West</x:v>
      </x:c>
      <x:c r="D257" s="192" t="str">
        <x:f>'Raw Data'!D257</x:f>
        <x:v>Surat</x:v>
      </x:c>
      <x:c r="E257" s="192" t="str">
        <x:f>'Raw Data'!E257</x:f>
        <x:v>North Indian</x:v>
      </x:c>
      <x:c r="F257" s="192" t="str">
        <x:f>'Raw Data'!F257</x:f>
        <x:v>Budget</x:v>
      </x:c>
      <x:c r="G257" s="192" t="str">
        <x:f>'Raw Data'!G257</x:f>
        <x:v>Budget Customer 06</x:v>
      </x:c>
      <x:c r="H257" s="192" t="n">
        <x:f>'Raw Data'!H257</x:f>
        <x:v>74</x:v>
      </x:c>
      <x:c r="I257" s="195" t="n">
        <x:f>'Raw Data'!I257</x:f>
        <x:v>647</x:v>
      </x:c>
      <x:c r="J257" s="196" t="n">
        <x:f>'Raw Data'!J257</x:f>
        <x:v>0.11</x:v>
      </x:c>
      <x:c r="K257" s="195" t="n">
        <x:f>'Raw Data'!K257</x:f>
        <x:v>47878</x:v>
      </x:c>
      <x:c r="L257" s="195" t="n">
        <x:f>'Raw Data'!L257</x:f>
        <x:v>42611.42</x:v>
      </x:c>
      <x:c r="M257" s="195" t="n">
        <x:f>'Raw Data'!M257</x:f>
        <x:v>31106.3366</x:v>
      </x:c>
      <x:c r="N257" s="195" t="n">
        <x:f>'Raw Data'!N257</x:f>
        <x:v>11505.0834</x:v>
      </x:c>
      <x:c r="O257" s="195" t="n">
        <x:f>'Raw Data'!O257</x:f>
        <x:v>5539.4846</x:v>
      </x:c>
      <x:c r="P257" s="195" t="n">
        <x:f>'Raw Data'!P257</x:f>
        <x:v>5965.5988</x:v>
      </x:c>
      <x:c r="Q257" s="195" t="n">
        <x:f>'Raw Data'!Q257</x:f>
        <x:v>43782.110135237795</x:v>
      </x:c>
      <x:c r="R257" s="196" t="n">
        <x:f t="shared" si="9">IFERROR(N257/L257,0)</x:f>
        <x:v>0.27</x:v>
      </x:c>
      <x:c r="S257" s="196" t="n">
        <x:f t="shared" si="10">IFERROR(P257/L257,0)</x:f>
        <x:v>0.14</x:v>
      </x:c>
      <x:c r="T257" s="196" t="n">
        <x:f t="shared" si="11">IFERROR(L257/Q257,0)</x:f>
        <x:v>0.9732609933230337</x:v>
      </x:c>
    </x:row>
    <x:row r="258">
      <x:c r="A258" s="192" t="str">
        <x:f>'Raw Data'!A258</x:f>
        <x:v>ZOM-0254</x:v>
      </x:c>
      <x:c r="B258" s="193" t="n">
        <x:f>'Raw Data'!B258</x:f>
        <x:v>45911</x:v>
      </x:c>
      <x:c r="C258" s="236" t="str">
        <x:f>'Raw Data'!C258</x:f>
        <x:v>Central</x:v>
      </x:c>
      <x:c r="D258" s="192" t="str">
        <x:f>'Raw Data'!D258</x:f>
        <x:v>Bhopal</x:v>
      </x:c>
      <x:c r="E258" s="192" t="str">
        <x:f>'Raw Data'!E258</x:f>
        <x:v>North Indian</x:v>
      </x:c>
      <x:c r="F258" s="192" t="str">
        <x:f>'Raw Data'!F258</x:f>
        <x:v>Repeat User</x:v>
      </x:c>
      <x:c r="G258" s="192" t="str">
        <x:f>'Raw Data'!G258</x:f>
        <x:v>Repeat User Customer 37</x:v>
      </x:c>
      <x:c r="H258" s="192" t="n">
        <x:f>'Raw Data'!H258</x:f>
        <x:v>92</x:v>
      </x:c>
      <x:c r="I258" s="195" t="n">
        <x:f>'Raw Data'!I258</x:f>
        <x:v>457</x:v>
      </x:c>
      <x:c r="J258" s="196" t="n">
        <x:f>'Raw Data'!J258</x:f>
        <x:v>0.05</x:v>
      </x:c>
      <x:c r="K258" s="195" t="n">
        <x:f>'Raw Data'!K258</x:f>
        <x:v>42044</x:v>
      </x:c>
      <x:c r="L258" s="195" t="n">
        <x:f>'Raw Data'!L258</x:f>
        <x:v>39941.799999999996</x:v>
      </x:c>
      <x:c r="M258" s="195" t="n">
        <x:f>'Raw Data'!M258</x:f>
        <x:v>29157.513999999996</x:v>
      </x:c>
      <x:c r="N258" s="195" t="n">
        <x:f>'Raw Data'!N258</x:f>
        <x:v>10784.286</x:v>
      </x:c>
      <x:c r="O258" s="195" t="n">
        <x:f>'Raw Data'!O258</x:f>
        <x:v>5192.433999999999</x:v>
      </x:c>
      <x:c r="P258" s="195" t="n">
        <x:f>'Raw Data'!P258</x:f>
        <x:v>5591.852000000001</x:v>
      </x:c>
      <x:c r="Q258" s="195" t="n">
        <x:f>'Raw Data'!Q258</x:f>
        <x:v>40269.697929441434</x:v>
      </x:c>
      <x:c r="R258" s="196" t="n">
        <x:f t="shared" si="9">IFERROR(N258/L258,0)</x:f>
        <x:v>0.27</x:v>
      </x:c>
      <x:c r="S258" s="196" t="n">
        <x:f t="shared" si="10">IFERROR(P258/L258,0)</x:f>
        <x:v>0.14000000000000004</x:v>
      </x:c>
      <x:c r="T258" s="196" t="n">
        <x:f t="shared" si="11">IFERROR(L258/Q258,0)</x:f>
        <x:v>0.9918574524691999</x:v>
      </x:c>
    </x:row>
    <x:row r="259">
      <x:c r="A259" s="192" t="str">
        <x:f>'Raw Data'!A259</x:f>
        <x:v>ZOM-0255</x:v>
      </x:c>
      <x:c r="B259" s="193" t="n">
        <x:f>'Raw Data'!B259</x:f>
        <x:v>45912</x:v>
      </x:c>
      <x:c r="C259" s="236" t="str">
        <x:f>'Raw Data'!C259</x:f>
        <x:v>North</x:v>
      </x:c>
      <x:c r="D259" s="192" t="str">
        <x:f>'Raw Data'!D259</x:f>
        <x:v>Noida</x:v>
      </x:c>
      <x:c r="E259" s="192" t="str">
        <x:f>'Raw Data'!E259</x:f>
        <x:v>South Indian</x:v>
      </x:c>
      <x:c r="F259" s="192" t="str">
        <x:f>'Raw Data'!F259</x:f>
        <x:v>Budget</x:v>
      </x:c>
      <x:c r="G259" s="192" t="str">
        <x:f>'Raw Data'!G259</x:f>
        <x:v>Budget Customer 58</x:v>
      </x:c>
      <x:c r="H259" s="192" t="n">
        <x:f>'Raw Data'!H259</x:f>
        <x:v>120</x:v>
      </x:c>
      <x:c r="I259" s="195" t="n">
        <x:f>'Raw Data'!I259</x:f>
        <x:v>411</x:v>
      </x:c>
      <x:c r="J259" s="196" t="n">
        <x:f>'Raw Data'!J259</x:f>
        <x:v>0.11</x:v>
      </x:c>
      <x:c r="K259" s="195" t="n">
        <x:f>'Raw Data'!K259</x:f>
        <x:v>49320</x:v>
      </x:c>
      <x:c r="L259" s="195" t="n">
        <x:f>'Raw Data'!L259</x:f>
        <x:v>43894.8</x:v>
      </x:c>
      <x:c r="M259" s="195" t="n">
        <x:f>'Raw Data'!M259</x:f>
        <x:v>32482.152000000002</x:v>
      </x:c>
      <x:c r="N259" s="195" t="n">
        <x:f>'Raw Data'!N259</x:f>
        <x:v>11412.648000000001</x:v>
      </x:c>
      <x:c r="O259" s="195" t="n">
        <x:f>'Raw Data'!O259</x:f>
        <x:v>5706.3240000000005</x:v>
      </x:c>
      <x:c r="P259" s="195" t="n">
        <x:f>'Raw Data'!P259</x:f>
        <x:v>5706.3240000000005</x:v>
      </x:c>
      <x:c r="Q259" s="195" t="n">
        <x:f>'Raw Data'!Q259</x:f>
        <x:v>45039.10940245338</x:v>
      </x:c>
      <x:c r="R259" s="196" t="n">
        <x:f t="shared" si="9">IFERROR(N259/L259,0)</x:f>
        <x:v>0.26</x:v>
      </x:c>
      <x:c r="S259" s="196" t="n">
        <x:f t="shared" si="10">IFERROR(P259/L259,0)</x:f>
        <x:v>0.13</x:v>
      </x:c>
      <x:c r="T259" s="196" t="n">
        <x:f t="shared" si="11">IFERROR(L259/Q259,0)</x:f>
        <x:v>0.9745929833507977</x:v>
      </x:c>
    </x:row>
    <x:row r="260">
      <x:c r="A260" s="192" t="str">
        <x:f>'Raw Data'!A260</x:f>
        <x:v>ZOM-0256</x:v>
      </x:c>
      <x:c r="B260" s="193" t="n">
        <x:f>'Raw Data'!B260</x:f>
        <x:v>45913</x:v>
      </x:c>
      <x:c r="C260" s="236" t="str">
        <x:f>'Raw Data'!C260</x:f>
        <x:v>North</x:v>
      </x:c>
      <x:c r="D260" s="192" t="str">
        <x:f>'Raw Data'!D260</x:f>
        <x:v>Delhi</x:v>
      </x:c>
      <x:c r="E260" s="192" t="str">
        <x:f>'Raw Data'!E260</x:f>
        <x:v>Chinese</x:v>
      </x:c>
      <x:c r="F260" s="192" t="str">
        <x:f>'Raw Data'!F260</x:f>
        <x:v>Repeat User</x:v>
      </x:c>
      <x:c r="G260" s="192" t="str">
        <x:f>'Raw Data'!G260</x:f>
        <x:v>Repeat User Customer 39</x:v>
      </x:c>
      <x:c r="H260" s="192" t="n">
        <x:f>'Raw Data'!H260</x:f>
        <x:v>122</x:v>
      </x:c>
      <x:c r="I260" s="195" t="n">
        <x:f>'Raw Data'!I260</x:f>
        <x:v>420</x:v>
      </x:c>
      <x:c r="J260" s="196" t="n">
        <x:f>'Raw Data'!J260</x:f>
        <x:v>0.05</x:v>
      </x:c>
      <x:c r="K260" s="195" t="n">
        <x:f>'Raw Data'!K260</x:f>
        <x:v>51240</x:v>
      </x:c>
      <x:c r="L260" s="195" t="n">
        <x:f>'Raw Data'!L260</x:f>
        <x:v>48678</x:v>
      </x:c>
      <x:c r="M260" s="195" t="n">
        <x:f>'Raw Data'!M260</x:f>
        <x:v>36021.72</x:v>
      </x:c>
      <x:c r="N260" s="195" t="n">
        <x:f>'Raw Data'!N260</x:f>
        <x:v>12656.279999999999</x:v>
      </x:c>
      <x:c r="O260" s="195" t="n">
        <x:f>'Raw Data'!O260</x:f>
        <x:v>6328.14</x:v>
      </x:c>
      <x:c r="P260" s="195" t="n">
        <x:f>'Raw Data'!P260</x:f>
        <x:v>6328.1399999999985</x:v>
      </x:c>
      <x:c r="Q260" s="195" t="n">
        <x:f>'Raw Data'!Q260</x:f>
        <x:v>50127.63294592223</x:v>
      </x:c>
      <x:c r="R260" s="196" t="n">
        <x:f t="shared" si="9">IFERROR(N260/L260,0)</x:f>
        <x:v>0.25999999999999995</x:v>
      </x:c>
      <x:c r="S260" s="196" t="n">
        <x:f t="shared" si="10">IFERROR(P260/L260,0)</x:f>
        <x:v>0.12999999999999998</x:v>
      </x:c>
      <x:c r="T260" s="196" t="n">
        <x:f t="shared" si="11">IFERROR(L260/Q260,0)</x:f>
        <x:v>0.9710811610138045</x:v>
      </x:c>
    </x:row>
    <x:row r="261">
      <x:c r="A261" s="192" t="str">
        <x:f>'Raw Data'!A261</x:f>
        <x:v>ZOM-0257</x:v>
      </x:c>
      <x:c r="B261" s="193" t="n">
        <x:f>'Raw Data'!B261</x:f>
        <x:v>45914</x:v>
      </x:c>
      <x:c r="C261" s="236" t="str">
        <x:f>'Raw Data'!C261</x:f>
        <x:v>West</x:v>
      </x:c>
      <x:c r="D261" s="192" t="str">
        <x:f>'Raw Data'!D261</x:f>
        <x:v>Nagpur</x:v>
      </x:c>
      <x:c r="E261" s="192" t="str">
        <x:f>'Raw Data'!E261</x:f>
        <x:v>Pizza</x:v>
      </x:c>
      <x:c r="F261" s="192" t="str">
        <x:f>'Raw Data'!F261</x:f>
        <x:v>Student</x:v>
      </x:c>
      <x:c r="G261" s="192" t="str">
        <x:f>'Raw Data'!G261</x:f>
        <x:v>Student Customer 26</x:v>
      </x:c>
      <x:c r="H261" s="192" t="n">
        <x:f>'Raw Data'!H261</x:f>
        <x:v>61</x:v>
      </x:c>
      <x:c r="I261" s="195" t="n">
        <x:f>'Raw Data'!I261</x:f>
        <x:v>734</x:v>
      </x:c>
      <x:c r="J261" s="196" t="n">
        <x:f>'Raw Data'!J261</x:f>
        <x:v>0.12</x:v>
      </x:c>
      <x:c r="K261" s="195" t="n">
        <x:f>'Raw Data'!K261</x:f>
        <x:v>44774</x:v>
      </x:c>
      <x:c r="L261" s="195" t="n">
        <x:f>'Raw Data'!L261</x:f>
        <x:v>39401.12</x:v>
      </x:c>
      <x:c r="M261" s="195" t="n">
        <x:f>'Raw Data'!M261</x:f>
        <x:v>29156.828800000003</x:v>
      </x:c>
      <x:c r="N261" s="195" t="n">
        <x:f>'Raw Data'!N261</x:f>
        <x:v>10244.2912</x:v>
      </x:c>
      <x:c r="O261" s="195" t="n">
        <x:f>'Raw Data'!O261</x:f>
        <x:v>5122.145600000001</x:v>
      </x:c>
      <x:c r="P261" s="195" t="n">
        <x:f>'Raw Data'!P261</x:f>
        <x:v>5122.145599999999</x:v>
      </x:c>
      <x:c r="Q261" s="195" t="n">
        <x:f>'Raw Data'!Q261</x:f>
        <x:v>40293.066116093745</x:v>
      </x:c>
      <x:c r="R261" s="196" t="n">
        <x:f t="shared" ref="R261:R324" si="12">IFERROR(N261/L261,0)</x:f>
        <x:v>0.25999999999999995</x:v>
      </x:c>
      <x:c r="S261" s="196" t="n">
        <x:f t="shared" ref="S261:S324" si="13">IFERROR(P261/L261,0)</x:f>
        <x:v>0.12999999999999998</x:v>
      </x:c>
      <x:c r="T261" s="196" t="n">
        <x:f t="shared" ref="T261:T324" si="14">IFERROR(L261/Q261,0)</x:f>
        <x:v>0.9778635333056105</x:v>
      </x:c>
    </x:row>
    <x:row r="262">
      <x:c r="A262" s="192" t="str">
        <x:f>'Raw Data'!A262</x:f>
        <x:v>ZOM-0258</x:v>
      </x:c>
      <x:c r="B262" s="193" t="n">
        <x:f>'Raw Data'!B262</x:f>
        <x:v>45915</x:v>
      </x:c>
      <x:c r="C262" s="236" t="str">
        <x:f>'Raw Data'!C262</x:f>
        <x:v>South</x:v>
      </x:c>
      <x:c r="D262" s="192" t="str">
        <x:f>'Raw Data'!D262</x:f>
        <x:v>Bengaluru</x:v>
      </x:c>
      <x:c r="E262" s="192" t="str">
        <x:f>'Raw Data'!E262</x:f>
        <x:v>Desserts</x:v>
      </x:c>
      <x:c r="F262" s="192" t="str">
        <x:f>'Raw Data'!F262</x:f>
        <x:v>Budget</x:v>
      </x:c>
      <x:c r="G262" s="192" t="str">
        <x:f>'Raw Data'!G262</x:f>
        <x:v>Budget Customer 57</x:v>
      </x:c>
      <x:c r="H262" s="192" t="n">
        <x:f>'Raw Data'!H262</x:f>
        <x:v>84</x:v>
      </x:c>
      <x:c r="I262" s="195" t="n">
        <x:f>'Raw Data'!I262</x:f>
        <x:v>289</x:v>
      </x:c>
      <x:c r="J262" s="196" t="n">
        <x:f>'Raw Data'!J262</x:f>
        <x:v>0.08</x:v>
      </x:c>
      <x:c r="K262" s="195" t="n">
        <x:f>'Raw Data'!K262</x:f>
        <x:v>24276</x:v>
      </x:c>
      <x:c r="L262" s="195" t="n">
        <x:f>'Raw Data'!L262</x:f>
        <x:v>22333.920000000002</x:v>
      </x:c>
      <x:c r="M262" s="195" t="n">
        <x:f>'Raw Data'!M262</x:f>
        <x:v>15410.4048</x:v>
      </x:c>
      <x:c r="N262" s="195" t="n">
        <x:f>'Raw Data'!N262</x:f>
        <x:v>6923.515200000002</x:v>
      </x:c>
      <x:c r="O262" s="195" t="n">
        <x:f>'Raw Data'!O262</x:f>
        <x:v>2903.4096000000004</x:v>
      </x:c>
      <x:c r="P262" s="195" t="n">
        <x:f>'Raw Data'!P262</x:f>
        <x:v>4020.1056000000012</x:v>
      </x:c>
      <x:c r="Q262" s="195" t="n">
        <x:f>'Raw Data'!Q262</x:f>
        <x:v>22524.237163788548</x:v>
      </x:c>
      <x:c r="R262" s="196" t="n">
        <x:f t="shared" si="12">IFERROR(N262/L262,0)</x:f>
        <x:v>0.31000000000000005</x:v>
      </x:c>
      <x:c r="S262" s="196" t="n">
        <x:f t="shared" si="13">IFERROR(P262/L262,0)</x:f>
        <x:v>0.18000000000000005</x:v>
      </x:c>
      <x:c r="T262" s="196" t="n">
        <x:f t="shared" si="14">IFERROR(L262/Q262,0)</x:f>
        <x:v>0.9915505611841757</x:v>
      </x:c>
    </x:row>
    <x:row r="263">
      <x:c r="A263" s="192" t="str">
        <x:f>'Raw Data'!A263</x:f>
        <x:v>ZOM-0259</x:v>
      </x:c>
      <x:c r="B263" s="193" t="n">
        <x:f>'Raw Data'!B263</x:f>
        <x:v>45916</x:v>
      </x:c>
      <x:c r="C263" s="236" t="str">
        <x:f>'Raw Data'!C263</x:f>
        <x:v>Metro</x:v>
      </x:c>
      <x:c r="D263" s="192" t="str">
        <x:f>'Raw Data'!D263</x:f>
        <x:v>Bengaluru</x:v>
      </x:c>
      <x:c r="E263" s="192" t="str">
        <x:f>'Raw Data'!E263</x:f>
        <x:v>Beverages</x:v>
      </x:c>
      <x:c r="F263" s="192" t="str">
        <x:f>'Raw Data'!F263</x:f>
        <x:v>New User</x:v>
      </x:c>
      <x:c r="G263" s="192" t="str">
        <x:f>'Raw Data'!G263</x:f>
        <x:v>New User Customer 02</x:v>
      </x:c>
      <x:c r="H263" s="192" t="n">
        <x:f>'Raw Data'!H263</x:f>
        <x:v>150</x:v>
      </x:c>
      <x:c r="I263" s="195" t="n">
        <x:f>'Raw Data'!I263</x:f>
        <x:v>220</x:v>
      </x:c>
      <x:c r="J263" s="196" t="n">
        <x:f>'Raw Data'!J263</x:f>
        <x:v>0.08</x:v>
      </x:c>
      <x:c r="K263" s="195" t="n">
        <x:f>'Raw Data'!K263</x:f>
        <x:v>33000</x:v>
      </x:c>
      <x:c r="L263" s="195" t="n">
        <x:f>'Raw Data'!L263</x:f>
        <x:v>30360</x:v>
      </x:c>
      <x:c r="M263" s="195" t="n">
        <x:f>'Raw Data'!M263</x:f>
        <x:v>20644.8</x:v>
      </x:c>
      <x:c r="N263" s="195" t="n">
        <x:f>'Raw Data'!N263</x:f>
        <x:v>9715.2</x:v>
      </x:c>
      <x:c r="O263" s="195" t="n">
        <x:f>'Raw Data'!O263</x:f>
        <x:v>3946.8</x:v>
      </x:c>
      <x:c r="P263" s="195" t="n">
        <x:f>'Raw Data'!P263</x:f>
        <x:v>5768.400000000001</x:v>
      </x:c>
      <x:c r="Q263" s="195" t="n">
        <x:f>'Raw Data'!Q263</x:f>
        <x:v>33166.60123373511</x:v>
      </x:c>
      <x:c r="R263" s="196" t="n">
        <x:f t="shared" si="12">IFERROR(N263/L263,0)</x:f>
        <x:v>0.32</x:v>
      </x:c>
      <x:c r="S263" s="196" t="n">
        <x:f t="shared" si="13">IFERROR(P263/L263,0)</x:f>
        <x:v>0.19000000000000003</x:v>
      </x:c>
      <x:c r="T263" s="196" t="n">
        <x:f t="shared" si="14">IFERROR(L263/Q263,0)</x:f>
        <x:v>0.9153786903289806</x:v>
      </x:c>
    </x:row>
    <x:row r="264">
      <x:c r="A264" s="192" t="str">
        <x:f>'Raw Data'!A264</x:f>
        <x:v>ZOM-0260</x:v>
      </x:c>
      <x:c r="B264" s="193" t="n">
        <x:f>'Raw Data'!B264</x:f>
        <x:v>45917</x:v>
      </x:c>
      <x:c r="C264" s="236" t="str">
        <x:f>'Raw Data'!C264</x:f>
        <x:v>West</x:v>
      </x:c>
      <x:c r="D264" s="192" t="str">
        <x:f>'Raw Data'!D264</x:f>
        <x:v>Mumbai</x:v>
      </x:c>
      <x:c r="E264" s="192" t="str">
        <x:f>'Raw Data'!E264</x:f>
        <x:v>Biryani</x:v>
      </x:c>
      <x:c r="F264" s="192" t="str">
        <x:f>'Raw Data'!F264</x:f>
        <x:v>New User</x:v>
      </x:c>
      <x:c r="G264" s="192" t="str">
        <x:f>'Raw Data'!G264</x:f>
        <x:v>New User Customer 27</x:v>
      </x:c>
      <x:c r="H264" s="192" t="n">
        <x:f>'Raw Data'!H264</x:f>
        <x:v>78</x:v>
      </x:c>
      <x:c r="I264" s="195" t="n">
        <x:f>'Raw Data'!I264</x:f>
        <x:v>565</x:v>
      </x:c>
      <x:c r="J264" s="196" t="n">
        <x:f>'Raw Data'!J264</x:f>
        <x:v>0.09</x:v>
      </x:c>
      <x:c r="K264" s="195" t="n">
        <x:f>'Raw Data'!K264</x:f>
        <x:v>44070</x:v>
      </x:c>
      <x:c r="L264" s="195" t="n">
        <x:f>'Raw Data'!L264</x:f>
        <x:v>40103.700000000004</x:v>
      </x:c>
      <x:c r="M264" s="195" t="n">
        <x:f>'Raw Data'!M264</x:f>
        <x:v>29676.738</x:v>
      </x:c>
      <x:c r="N264" s="195" t="n">
        <x:f>'Raw Data'!N264</x:f>
        <x:v>10426.962000000003</x:v>
      </x:c>
      <x:c r="O264" s="195" t="n">
        <x:f>'Raw Data'!O264</x:f>
        <x:v>5213.481000000001</x:v>
      </x:c>
      <x:c r="P264" s="195" t="n">
        <x:f>'Raw Data'!P264</x:f>
        <x:v>5213.4810000000025</x:v>
      </x:c>
      <x:c r="Q264" s="195" t="n">
        <x:f>'Raw Data'!Q264</x:f>
        <x:v>42514.97008776074</x:v>
      </x:c>
      <x:c r="R264" s="196" t="n">
        <x:f t="shared" si="12">IFERROR(N264/L264,0)</x:f>
        <x:v>0.26000000000000006</x:v>
      </x:c>
      <x:c r="S264" s="196" t="n">
        <x:f t="shared" si="13">IFERROR(P264/L264,0)</x:f>
        <x:v>0.13000000000000006</x:v>
      </x:c>
      <x:c r="T264" s="196" t="n">
        <x:f t="shared" si="14">IFERROR(L264/Q264,0)</x:f>
        <x:v>0.9432842106490181</x:v>
      </x:c>
    </x:row>
    <x:row r="265">
      <x:c r="A265" s="192" t="str">
        <x:f>'Raw Data'!A265</x:f>
        <x:v>ZOM-0261</x:v>
      </x:c>
      <x:c r="B265" s="193" t="n">
        <x:f>'Raw Data'!B265</x:f>
        <x:v>45918</x:v>
      </x:c>
      <x:c r="C265" s="236" t="str">
        <x:f>'Raw Data'!C265</x:f>
        <x:v>West</x:v>
      </x:c>
      <x:c r="D265" s="192" t="str">
        <x:f>'Raw Data'!D265</x:f>
        <x:v>Surat</x:v>
      </x:c>
      <x:c r="E265" s="192" t="str">
        <x:f>'Raw Data'!E265</x:f>
        <x:v>North Indian</x:v>
      </x:c>
      <x:c r="F265" s="192" t="str">
        <x:f>'Raw Data'!F265</x:f>
        <x:v>Gold User</x:v>
      </x:c>
      <x:c r="G265" s="192" t="str">
        <x:f>'Raw Data'!G265</x:f>
        <x:v>Gold User Customer 52</x:v>
      </x:c>
      <x:c r="H265" s="192" t="n">
        <x:f>'Raw Data'!H265</x:f>
        <x:v>178</x:v>
      </x:c>
      <x:c r="I265" s="195" t="n">
        <x:f>'Raw Data'!I265</x:f>
        <x:v>461</x:v>
      </x:c>
      <x:c r="J265" s="196" t="n">
        <x:f>'Raw Data'!J265</x:f>
        <x:v>0.009999999999999998</x:v>
      </x:c>
      <x:c r="K265" s="195" t="n">
        <x:f>'Raw Data'!K265</x:f>
        <x:v>82058</x:v>
      </x:c>
      <x:c r="L265" s="195" t="n">
        <x:f>'Raw Data'!L265</x:f>
        <x:v>81237.42</x:v>
      </x:c>
      <x:c r="M265" s="195" t="n">
        <x:f>'Raw Data'!M265</x:f>
        <x:v>59303.3166</x:v>
      </x:c>
      <x:c r="N265" s="195" t="n">
        <x:f>'Raw Data'!N265</x:f>
        <x:v>21934.1034</x:v>
      </x:c>
      <x:c r="O265" s="195" t="n">
        <x:f>'Raw Data'!O265</x:f>
        <x:v>10560.8646</x:v>
      </x:c>
      <x:c r="P265" s="195" t="n">
        <x:f>'Raw Data'!P265</x:f>
        <x:v>11373.2388</x:v>
      </x:c>
      <x:c r="Q265" s="195" t="n">
        <x:f>'Raw Data'!Q265</x:f>
        <x:v>83218.28881915195</x:v>
      </x:c>
      <x:c r="R265" s="196" t="n">
        <x:f t="shared" si="12">IFERROR(N265/L265,0)</x:f>
        <x:v>0.27</x:v>
      </x:c>
      <x:c r="S265" s="196" t="n">
        <x:f t="shared" si="13">IFERROR(P265/L265,0)</x:f>
        <x:v>0.13999999999999999</x:v>
      </x:c>
      <x:c r="T265" s="196" t="n">
        <x:f t="shared" si="14">IFERROR(L265/Q265,0)</x:f>
        <x:v>0.9761967129189988</x:v>
      </x:c>
    </x:row>
    <x:row r="266">
      <x:c r="A266" s="192" t="str">
        <x:f>'Raw Data'!A266</x:f>
        <x:v>ZOM-0262</x:v>
      </x:c>
      <x:c r="B266" s="193" t="n">
        <x:f>'Raw Data'!B266</x:f>
        <x:v>45919</x:v>
      </x:c>
      <x:c r="C266" s="236" t="str">
        <x:f>'Raw Data'!C266</x:f>
        <x:v>North</x:v>
      </x:c>
      <x:c r="D266" s="192" t="str">
        <x:f>'Raw Data'!D266</x:f>
        <x:v>Gurugram</x:v>
      </x:c>
      <x:c r="E266" s="192" t="str">
        <x:f>'Raw Data'!E266</x:f>
        <x:v>South Indian</x:v>
      </x:c>
      <x:c r="F266" s="192" t="str">
        <x:f>'Raw Data'!F266</x:f>
        <x:v>Corporate</x:v>
      </x:c>
      <x:c r="G266" s="192" t="str">
        <x:f>'Raw Data'!G266</x:f>
        <x:v>Corporate Customer 06</x:v>
      </x:c>
      <x:c r="H266" s="192" t="n">
        <x:f>'Raw Data'!H266</x:f>
        <x:v>88</x:v>
      </x:c>
      <x:c r="I266" s="195" t="n">
        <x:f>'Raw Data'!I266</x:f>
        <x:v>343</x:v>
      </x:c>
      <x:c r="J266" s="196" t="n">
        <x:f>'Raw Data'!J266</x:f>
        <x:v>0.03</x:v>
      </x:c>
      <x:c r="K266" s="195" t="n">
        <x:f>'Raw Data'!K266</x:f>
        <x:v>30184</x:v>
      </x:c>
      <x:c r="L266" s="195" t="n">
        <x:f>'Raw Data'!L266</x:f>
        <x:v>29278.48</x:v>
      </x:c>
      <x:c r="M266" s="195" t="n">
        <x:f>'Raw Data'!M266</x:f>
        <x:v>21666.0752</x:v>
      </x:c>
      <x:c r="N266" s="195" t="n">
        <x:f>'Raw Data'!N266</x:f>
        <x:v>7612.4048</x:v>
      </x:c>
      <x:c r="O266" s="195" t="n">
        <x:f>'Raw Data'!O266</x:f>
        <x:v>3806.2024</x:v>
      </x:c>
      <x:c r="P266" s="195" t="n">
        <x:f>'Raw Data'!P266</x:f>
        <x:v>3806.2024</x:v>
      </x:c>
      <x:c r="Q266" s="195" t="n">
        <x:f>'Raw Data'!Q266</x:f>
        <x:v>29481.927762875483</x:v>
      </x:c>
      <x:c r="R266" s="196" t="n">
        <x:f t="shared" si="12">IFERROR(N266/L266,0)</x:f>
        <x:v>0.26</x:v>
      </x:c>
      <x:c r="S266" s="196" t="n">
        <x:f t="shared" si="13">IFERROR(P266/L266,0)</x:f>
        <x:v>0.13</x:v>
      </x:c>
      <x:c r="T266" s="196" t="n">
        <x:f t="shared" si="14">IFERROR(L266/Q266,0)</x:f>
        <x:v>0.9930992381328717</x:v>
      </x:c>
    </x:row>
    <x:row r="267">
      <x:c r="A267" s="192" t="str">
        <x:f>'Raw Data'!A267</x:f>
        <x:v>ZOM-0263</x:v>
      </x:c>
      <x:c r="B267" s="193" t="n">
        <x:f>'Raw Data'!B267</x:f>
        <x:v>45920</x:v>
      </x:c>
      <x:c r="C267" s="236" t="str">
        <x:f>'Raw Data'!C267</x:f>
        <x:v>Metro</x:v>
      </x:c>
      <x:c r="D267" s="192" t="str">
        <x:f>'Raw Data'!D267</x:f>
        <x:v>Delhi</x:v>
      </x:c>
      <x:c r="E267" s="192" t="str">
        <x:f>'Raw Data'!E267</x:f>
        <x:v>South Indian</x:v>
      </x:c>
      <x:c r="F267" s="192" t="str">
        <x:f>'Raw Data'!F267</x:f>
        <x:v>Corporate</x:v>
      </x:c>
      <x:c r="G267" s="192" t="str">
        <x:f>'Raw Data'!G267</x:f>
        <x:v>Corporate Customer 11</x:v>
      </x:c>
      <x:c r="H267" s="192" t="n">
        <x:f>'Raw Data'!H267</x:f>
        <x:v>140</x:v>
      </x:c>
      <x:c r="I267" s="195" t="n">
        <x:f>'Raw Data'!I267</x:f>
        <x:v>398</x:v>
      </x:c>
      <x:c r="J267" s="196" t="n">
        <x:f>'Raw Data'!J267</x:f>
        <x:v>0.02</x:v>
      </x:c>
      <x:c r="K267" s="195" t="n">
        <x:f>'Raw Data'!K267</x:f>
        <x:v>55720</x:v>
      </x:c>
      <x:c r="L267" s="195" t="n">
        <x:f>'Raw Data'!L267</x:f>
        <x:v>54605.6</x:v>
      </x:c>
      <x:c r="M267" s="195" t="n">
        <x:f>'Raw Data'!M267</x:f>
        <x:v>40408.144</x:v>
      </x:c>
      <x:c r="N267" s="195" t="n">
        <x:f>'Raw Data'!N267</x:f>
        <x:v>14197.455999999998</x:v>
      </x:c>
      <x:c r="O267" s="195" t="n">
        <x:f>'Raw Data'!O267</x:f>
        <x:v>7098.728</x:v>
      </x:c>
      <x:c r="P267" s="195" t="n">
        <x:f>'Raw Data'!P267</x:f>
        <x:v>7098.727999999998</x:v>
      </x:c>
      <x:c r="Q267" s="195" t="n">
        <x:f>'Raw Data'!Q267</x:f>
        <x:v>59202.29686047751</x:v>
      </x:c>
      <x:c r="R267" s="196" t="n">
        <x:f t="shared" si="12">IFERROR(N267/L267,0)</x:f>
        <x:v>0.25999999999999995</x:v>
      </x:c>
      <x:c r="S267" s="196" t="n">
        <x:f t="shared" si="13">IFERROR(P267/L267,0)</x:f>
        <x:v>0.12999999999999998</x:v>
      </x:c>
      <x:c r="T267" s="196" t="n">
        <x:f t="shared" si="14">IFERROR(L267/Q267,0)</x:f>
        <x:v>0.9223561060255723</x:v>
      </x:c>
    </x:row>
    <x:row r="268">
      <x:c r="A268" s="192" t="str">
        <x:f>'Raw Data'!A268</x:f>
        <x:v>ZOM-0264</x:v>
      </x:c>
      <x:c r="B268" s="193" t="n">
        <x:f>'Raw Data'!B268</x:f>
        <x:v>45921</x:v>
      </x:c>
      <x:c r="C268" s="236" t="str">
        <x:f>'Raw Data'!C268</x:f>
        <x:v>West</x:v>
      </x:c>
      <x:c r="D268" s="192" t="str">
        <x:f>'Raw Data'!D268</x:f>
        <x:v>Ahmedabad</x:v>
      </x:c>
      <x:c r="E268" s="192" t="str">
        <x:f>'Raw Data'!E268</x:f>
        <x:v>Chinese</x:v>
      </x:c>
      <x:c r="F268" s="192" t="str">
        <x:f>'Raw Data'!F268</x:f>
        <x:v>Budget</x:v>
      </x:c>
      <x:c r="G268" s="192" t="str">
        <x:f>'Raw Data'!G268</x:f>
        <x:v>Budget Customer 08</x:v>
      </x:c>
      <x:c r="H268" s="192" t="n">
        <x:f>'Raw Data'!H268</x:f>
        <x:v>90</x:v>
      </x:c>
      <x:c r="I268" s="195" t="n">
        <x:f>'Raw Data'!I268</x:f>
        <x:v>392</x:v>
      </x:c>
      <x:c r="J268" s="196" t="n">
        <x:f>'Raw Data'!J268</x:f>
        <x:v>0.1</x:v>
      </x:c>
      <x:c r="K268" s="195" t="n">
        <x:f>'Raw Data'!K268</x:f>
        <x:v>35280</x:v>
      </x:c>
      <x:c r="L268" s="195" t="n">
        <x:f>'Raw Data'!L268</x:f>
        <x:v>31752</x:v>
      </x:c>
      <x:c r="M268" s="195" t="n">
        <x:f>'Raw Data'!M268</x:f>
        <x:v>23496.48</x:v>
      </x:c>
      <x:c r="N268" s="195" t="n">
        <x:f>'Raw Data'!N268</x:f>
        <x:v>8255.52</x:v>
      </x:c>
      <x:c r="O268" s="195" t="n">
        <x:f>'Raw Data'!O268</x:f>
        <x:v>4127.76</x:v>
      </x:c>
      <x:c r="P268" s="195" t="n">
        <x:f>'Raw Data'!P268</x:f>
        <x:v>4127.76</x:v>
      </x:c>
      <x:c r="Q268" s="195" t="n">
        <x:f>'Raw Data'!Q268</x:f>
        <x:v>34544.66144568572</x:v>
      </x:c>
      <x:c r="R268" s="196" t="n">
        <x:f t="shared" si="12">IFERROR(N268/L268,0)</x:f>
        <x:v>0.26</x:v>
      </x:c>
      <x:c r="S268" s="196" t="n">
        <x:f t="shared" si="13">IFERROR(P268/L268,0)</x:f>
        <x:v>0.13</x:v>
      </x:c>
      <x:c r="T268" s="196" t="n">
        <x:f t="shared" si="14">IFERROR(L268/Q268,0)</x:f>
        <x:v>0.919157944272327</x:v>
      </x:c>
    </x:row>
    <x:row r="269">
      <x:c r="A269" s="192" t="str">
        <x:f>'Raw Data'!A269</x:f>
        <x:v>ZOM-0265</x:v>
      </x:c>
      <x:c r="B269" s="193" t="n">
        <x:f>'Raw Data'!B269</x:f>
        <x:v>45922</x:v>
      </x:c>
      <x:c r="C269" s="236" t="str">
        <x:f>'Raw Data'!C269</x:f>
        <x:v>Central</x:v>
      </x:c>
      <x:c r="D269" s="192" t="str">
        <x:f>'Raw Data'!D269</x:f>
        <x:v>Bhopal</x:v>
      </x:c>
      <x:c r="E269" s="192" t="str">
        <x:f>'Raw Data'!E269</x:f>
        <x:v>Pizza</x:v>
      </x:c>
      <x:c r="F269" s="192" t="str">
        <x:f>'Raw Data'!F269</x:f>
        <x:v>Gold User</x:v>
      </x:c>
      <x:c r="G269" s="192" t="str">
        <x:f>'Raw Data'!G269</x:f>
        <x:v>Gold User Customer 55</x:v>
      </x:c>
      <x:c r="H269" s="192" t="n">
        <x:f>'Raw Data'!H269</x:f>
        <x:v>129</x:v>
      </x:c>
      <x:c r="I269" s="195" t="n">
        <x:f>'Raw Data'!I269</x:f>
        <x:v>525</x:v>
      </x:c>
      <x:c r="J269" s="196" t="n">
        <x:f>'Raw Data'!J269</x:f>
        <x:v>0.009999999999999998</x:v>
      </x:c>
      <x:c r="K269" s="195" t="n">
        <x:f>'Raw Data'!K269</x:f>
        <x:v>67725</x:v>
      </x:c>
      <x:c r="L269" s="195" t="n">
        <x:f>'Raw Data'!L269</x:f>
        <x:v>67047.75</x:v>
      </x:c>
      <x:c r="M269" s="195" t="n">
        <x:f>'Raw Data'!M269</x:f>
        <x:v>49615.335</x:v>
      </x:c>
      <x:c r="N269" s="195" t="n">
        <x:f>'Raw Data'!N269</x:f>
        <x:v>17432.415</x:v>
      </x:c>
      <x:c r="O269" s="195" t="n">
        <x:f>'Raw Data'!O269</x:f>
        <x:v>8716.2075</x:v>
      </x:c>
      <x:c r="P269" s="195" t="n">
        <x:f>'Raw Data'!P269</x:f>
        <x:v>8716.2075</x:v>
      </x:c>
      <x:c r="Q269" s="195" t="n">
        <x:f>'Raw Data'!Q269</x:f>
        <x:v>67493.7981172782</x:v>
      </x:c>
      <x:c r="R269" s="196" t="n">
        <x:f t="shared" si="12">IFERROR(N269/L269,0)</x:f>
        <x:v>0.26</x:v>
      </x:c>
      <x:c r="S269" s="196" t="n">
        <x:f t="shared" si="13">IFERROR(P269/L269,0)</x:f>
        <x:v>0.13</x:v>
      </x:c>
      <x:c r="T269" s="196" t="n">
        <x:f t="shared" si="14">IFERROR(L269/Q269,0)</x:f>
        <x:v>0.9933912725358389</x:v>
      </x:c>
    </x:row>
    <x:row r="270">
      <x:c r="A270" s="192" t="str">
        <x:f>'Raw Data'!A270</x:f>
        <x:v>ZOM-0266</x:v>
      </x:c>
      <x:c r="B270" s="193" t="n">
        <x:f>'Raw Data'!B270</x:f>
        <x:v>45923</x:v>
      </x:c>
      <x:c r="C270" s="236" t="str">
        <x:f>'Raw Data'!C270</x:f>
        <x:v>West</x:v>
      </x:c>
      <x:c r="D270" s="192" t="str">
        <x:f>'Raw Data'!D270</x:f>
        <x:v>Ahmedabad</x:v>
      </x:c>
      <x:c r="E270" s="192" t="str">
        <x:f>'Raw Data'!E270</x:f>
        <x:v>Biryani</x:v>
      </x:c>
      <x:c r="F270" s="192" t="str">
        <x:f>'Raw Data'!F270</x:f>
        <x:v>Budget</x:v>
      </x:c>
      <x:c r="G270" s="192" t="str">
        <x:f>'Raw Data'!G270</x:f>
        <x:v>Budget Customer 56</x:v>
      </x:c>
      <x:c r="H270" s="192" t="n">
        <x:f>'Raw Data'!H270</x:f>
        <x:v>125</x:v>
      </x:c>
      <x:c r="I270" s="195" t="n">
        <x:f>'Raw Data'!I270</x:f>
        <x:v>511</x:v>
      </x:c>
      <x:c r="J270" s="196" t="n">
        <x:f>'Raw Data'!J270</x:f>
        <x:v>0.08</x:v>
      </x:c>
      <x:c r="K270" s="195" t="n">
        <x:f>'Raw Data'!K270</x:f>
        <x:v>63875</x:v>
      </x:c>
      <x:c r="L270" s="195" t="n">
        <x:f>'Raw Data'!L270</x:f>
        <x:v>58765</x:v>
      </x:c>
      <x:c r="M270" s="195" t="n">
        <x:f>'Raw Data'!M270</x:f>
        <x:v>43486.1</x:v>
      </x:c>
      <x:c r="N270" s="195" t="n">
        <x:f>'Raw Data'!N270</x:f>
        <x:v>15278.900000000001</x:v>
      </x:c>
      <x:c r="O270" s="195" t="n">
        <x:f>'Raw Data'!O270</x:f>
        <x:v>7639.45</x:v>
      </x:c>
      <x:c r="P270" s="195" t="n">
        <x:f>'Raw Data'!P270</x:f>
        <x:v>7639.450000000002</x:v>
      </x:c>
      <x:c r="Q270" s="195" t="n">
        <x:f>'Raw Data'!Q270</x:f>
        <x:v>59075.54651443588</x:v>
      </x:c>
      <x:c r="R270" s="196" t="n">
        <x:f t="shared" si="12">IFERROR(N270/L270,0)</x:f>
        <x:v>0.26</x:v>
      </x:c>
      <x:c r="S270" s="196" t="n">
        <x:f t="shared" si="13">IFERROR(P270/L270,0)</x:f>
        <x:v>0.13000000000000003</x:v>
      </x:c>
      <x:c r="T270" s="196" t="n">
        <x:f t="shared" si="14">IFERROR(L270/Q270,0)</x:f>
        <x:v>0.9947432307823002</x:v>
      </x:c>
    </x:row>
    <x:row r="271">
      <x:c r="A271" s="192" t="str">
        <x:f>'Raw Data'!A271</x:f>
        <x:v>ZOM-0267</x:v>
      </x:c>
      <x:c r="B271" s="193" t="n">
        <x:f>'Raw Data'!B271</x:f>
        <x:v>45924</x:v>
      </x:c>
      <x:c r="C271" s="236" t="str">
        <x:f>'Raw Data'!C271</x:f>
        <x:v>North</x:v>
      </x:c>
      <x:c r="D271" s="192" t="str">
        <x:f>'Raw Data'!D271</x:f>
        <x:v>Delhi</x:v>
      </x:c>
      <x:c r="E271" s="192" t="str">
        <x:f>'Raw Data'!E271</x:f>
        <x:v>South Indian</x:v>
      </x:c>
      <x:c r="F271" s="192" t="str">
        <x:f>'Raw Data'!F271</x:f>
        <x:v>Repeat User</x:v>
      </x:c>
      <x:c r="G271" s="192" t="str">
        <x:f>'Raw Data'!G271</x:f>
        <x:v>Repeat User Customer 27</x:v>
      </x:c>
      <x:c r="H271" s="192" t="n">
        <x:f>'Raw Data'!H271</x:f>
        <x:v>87</x:v>
      </x:c>
      <x:c r="I271" s="195" t="n">
        <x:f>'Raw Data'!I271</x:f>
        <x:v>323</x:v>
      </x:c>
      <x:c r="J271" s="196" t="n">
        <x:f>'Raw Data'!J271</x:f>
        <x:v>0.030000000000000002</x:v>
      </x:c>
      <x:c r="K271" s="195" t="n">
        <x:f>'Raw Data'!K271</x:f>
        <x:v>28101</x:v>
      </x:c>
      <x:c r="L271" s="195" t="n">
        <x:f>'Raw Data'!L271</x:f>
        <x:v>27257.969999999998</x:v>
      </x:c>
      <x:c r="M271" s="195" t="n">
        <x:f>'Raw Data'!M271</x:f>
        <x:v>20170.8978</x:v>
      </x:c>
      <x:c r="N271" s="195" t="n">
        <x:f>'Raw Data'!N271</x:f>
        <x:v>7087.072199999999</x:v>
      </x:c>
      <x:c r="O271" s="195" t="n">
        <x:f>'Raw Data'!O271</x:f>
        <x:v>3543.5361</x:v>
      </x:c>
      <x:c r="P271" s="195" t="n">
        <x:f>'Raw Data'!P271</x:f>
        <x:v>3543.536099999999</x:v>
      </x:c>
      <x:c r="Q271" s="195" t="n">
        <x:f>'Raw Data'!Q271</x:f>
        <x:v>29680.655630706508</x:v>
      </x:c>
      <x:c r="R271" s="196" t="n">
        <x:f t="shared" si="12">IFERROR(N271/L271,0)</x:f>
        <x:v>0.25999999999999995</x:v>
      </x:c>
      <x:c r="S271" s="196" t="n">
        <x:f t="shared" si="13">IFERROR(P271/L271,0)</x:f>
        <x:v>0.12999999999999998</x:v>
      </x:c>
      <x:c r="T271" s="196" t="n">
        <x:f t="shared" si="14">IFERROR(L271/Q271,0)</x:f>
        <x:v>0.918374928746517</x:v>
      </x:c>
    </x:row>
    <x:row r="272">
      <x:c r="A272" s="192" t="str">
        <x:f>'Raw Data'!A272</x:f>
        <x:v>ZOM-0268</x:v>
      </x:c>
      <x:c r="B272" s="193" t="n">
        <x:f>'Raw Data'!B272</x:f>
        <x:v>45925</x:v>
      </x:c>
      <x:c r="C272" s="236" t="str">
        <x:f>'Raw Data'!C272</x:f>
        <x:v>South</x:v>
      </x:c>
      <x:c r="D272" s="192" t="str">
        <x:f>'Raw Data'!D272</x:f>
        <x:v>Hyderabad</x:v>
      </x:c>
      <x:c r="E272" s="192" t="str">
        <x:f>'Raw Data'!E272</x:f>
        <x:v>South Indian</x:v>
      </x:c>
      <x:c r="F272" s="192" t="str">
        <x:f>'Raw Data'!F272</x:f>
        <x:v>Budget</x:v>
      </x:c>
      <x:c r="G272" s="192" t="str">
        <x:f>'Raw Data'!G272</x:f>
        <x:v>Budget Customer 15</x:v>
      </x:c>
      <x:c r="H272" s="192" t="n">
        <x:f>'Raw Data'!H272</x:f>
        <x:v>88</x:v>
      </x:c>
      <x:c r="I272" s="195" t="n">
        <x:f>'Raw Data'!I272</x:f>
        <x:v>423</x:v>
      </x:c>
      <x:c r="J272" s="196" t="n">
        <x:f>'Raw Data'!J272</x:f>
        <x:v>0.1</x:v>
      </x:c>
      <x:c r="K272" s="195" t="n">
        <x:f>'Raw Data'!K272</x:f>
        <x:v>37224</x:v>
      </x:c>
      <x:c r="L272" s="195" t="n">
        <x:f>'Raw Data'!L272</x:f>
        <x:v>33501.6</x:v>
      </x:c>
      <x:c r="M272" s="195" t="n">
        <x:f>'Raw Data'!M272</x:f>
        <x:v>24791.183999999997</x:v>
      </x:c>
      <x:c r="N272" s="195" t="n">
        <x:f>'Raw Data'!N272</x:f>
        <x:v>8710.416000000001</x:v>
      </x:c>
      <x:c r="O272" s="195" t="n">
        <x:f>'Raw Data'!O272</x:f>
        <x:v>4355.208</x:v>
      </x:c>
      <x:c r="P272" s="195" t="n">
        <x:f>'Raw Data'!P272</x:f>
        <x:v>4355.208000000001</x:v>
      </x:c>
      <x:c r="Q272" s="195" t="n">
        <x:f>'Raw Data'!Q272</x:f>
        <x:v>33713.352152382664</x:v>
      </x:c>
      <x:c r="R272" s="196" t="n">
        <x:f t="shared" si="12">IFERROR(N272/L272,0)</x:f>
        <x:v>0.26000000000000006</x:v>
      </x:c>
      <x:c r="S272" s="196" t="n">
        <x:f t="shared" si="13">IFERROR(P272/L272,0)</x:f>
        <x:v>0.13000000000000006</x:v>
      </x:c>
      <x:c r="T272" s="196" t="n">
        <x:f t="shared" si="14">IFERROR(L272/Q272,0)</x:f>
        <x:v>0.9937190418969447</x:v>
      </x:c>
    </x:row>
    <x:row r="273">
      <x:c r="A273" s="192" t="str">
        <x:f>'Raw Data'!A273</x:f>
        <x:v>ZOM-0269</x:v>
      </x:c>
      <x:c r="B273" s="193" t="n">
        <x:f>'Raw Data'!B273</x:f>
        <x:v>45926</x:v>
      </x:c>
      <x:c r="C273" s="236" t="str">
        <x:f>'Raw Data'!C273</x:f>
        <x:v>Central</x:v>
      </x:c>
      <x:c r="D273" s="192" t="str">
        <x:f>'Raw Data'!D273</x:f>
        <x:v>Bhopal</x:v>
      </x:c>
      <x:c r="E273" s="192" t="str">
        <x:f>'Raw Data'!E273</x:f>
        <x:v>Snacks</x:v>
      </x:c>
      <x:c r="F273" s="192" t="str">
        <x:f>'Raw Data'!F273</x:f>
        <x:v>New User</x:v>
      </x:c>
      <x:c r="G273" s="192" t="str">
        <x:f>'Raw Data'!G273</x:f>
        <x:v>New User Customer 13</x:v>
      </x:c>
      <x:c r="H273" s="192" t="n">
        <x:f>'Raw Data'!H273</x:f>
        <x:v>103</x:v>
      </x:c>
      <x:c r="I273" s="195" t="n">
        <x:f>'Raw Data'!I273</x:f>
        <x:v>286</x:v>
      </x:c>
      <x:c r="J273" s="196" t="n">
        <x:f>'Raw Data'!J273</x:f>
        <x:v>0.08</x:v>
      </x:c>
      <x:c r="K273" s="195" t="n">
        <x:f>'Raw Data'!K273</x:f>
        <x:v>29458</x:v>
      </x:c>
      <x:c r="L273" s="195" t="n">
        <x:f>'Raw Data'!L273</x:f>
        <x:v>27101.36</x:v>
      </x:c>
      <x:c r="M273" s="195" t="n">
        <x:f>'Raw Data'!M273</x:f>
        <x:v>20055.0064</x:v>
      </x:c>
      <x:c r="N273" s="195" t="n">
        <x:f>'Raw Data'!N273</x:f>
        <x:v>7046.353600000002</x:v>
      </x:c>
      <x:c r="O273" s="195" t="n">
        <x:f>'Raw Data'!O273</x:f>
        <x:v>3523.1768</x:v>
      </x:c>
      <x:c r="P273" s="195" t="n">
        <x:f>'Raw Data'!P273</x:f>
        <x:v>3523.176800000002</x:v>
      </x:c>
      <x:c r="Q273" s="195" t="n">
        <x:f>'Raw Data'!Q273</x:f>
        <x:v>27127.27705297797</x:v>
      </x:c>
      <x:c r="R273" s="196" t="n">
        <x:f t="shared" si="12">IFERROR(N273/L273,0)</x:f>
        <x:v>0.26000000000000006</x:v>
      </x:c>
      <x:c r="S273" s="196" t="n">
        <x:f t="shared" si="13">IFERROR(P273/L273,0)</x:f>
        <x:v>0.13000000000000006</x:v>
      </x:c>
      <x:c r="T273" s="196" t="n">
        <x:f t="shared" si="14">IFERROR(L273/Q273,0)</x:f>
        <x:v>0.9990446128106645</x:v>
      </x:c>
    </x:row>
    <x:row r="274">
      <x:c r="A274" s="192" t="str">
        <x:f>'Raw Data'!A274</x:f>
        <x:v>ZOM-0270</x:v>
      </x:c>
      <x:c r="B274" s="193" t="n">
        <x:f>'Raw Data'!B274</x:f>
        <x:v>45927</x:v>
      </x:c>
      <x:c r="C274" s="236" t="str">
        <x:f>'Raw Data'!C274</x:f>
        <x:v>South</x:v>
      </x:c>
      <x:c r="D274" s="192" t="str">
        <x:f>'Raw Data'!D274</x:f>
        <x:v>Chennai</x:v>
      </x:c>
      <x:c r="E274" s="192" t="str">
        <x:f>'Raw Data'!E274</x:f>
        <x:v>Desserts</x:v>
      </x:c>
      <x:c r="F274" s="192" t="str">
        <x:f>'Raw Data'!F274</x:f>
        <x:v>Repeat User</x:v>
      </x:c>
      <x:c r="G274" s="192" t="str">
        <x:f>'Raw Data'!G274</x:f>
        <x:v>Repeat User Customer 35</x:v>
      </x:c>
      <x:c r="H274" s="192" t="n">
        <x:f>'Raw Data'!H274</x:f>
        <x:v>122</x:v>
      </x:c>
      <x:c r="I274" s="195" t="n">
        <x:f>'Raw Data'!I274</x:f>
        <x:v>301</x:v>
      </x:c>
      <x:c r="J274" s="196" t="n">
        <x:f>'Raw Data'!J274</x:f>
        <x:v>0.060000000000000005</x:v>
      </x:c>
      <x:c r="K274" s="195" t="n">
        <x:f>'Raw Data'!K274</x:f>
        <x:v>36722</x:v>
      </x:c>
      <x:c r="L274" s="195" t="n">
        <x:f>'Raw Data'!L274</x:f>
        <x:v>34518.68</x:v>
      </x:c>
      <x:c r="M274" s="195" t="n">
        <x:f>'Raw Data'!M274</x:f>
        <x:v>23817.889199999998</x:v>
      </x:c>
      <x:c r="N274" s="195" t="n">
        <x:f>'Raw Data'!N274</x:f>
        <x:v>10700.790800000002</x:v>
      </x:c>
      <x:c r="O274" s="195" t="n">
        <x:f>'Raw Data'!O274</x:f>
        <x:v>4487.4284</x:v>
      </x:c>
      <x:c r="P274" s="195" t="n">
        <x:f>'Raw Data'!P274</x:f>
        <x:v>6213.362400000003</x:v>
      </x:c>
      <x:c r="Q274" s="195" t="n">
        <x:f>'Raw Data'!Q274</x:f>
        <x:v>37552.7201039162</x:v>
      </x:c>
      <x:c r="R274" s="196" t="n">
        <x:f t="shared" si="12">IFERROR(N274/L274,0)</x:f>
        <x:v>0.31000000000000005</x:v>
      </x:c>
      <x:c r="S274" s="196" t="n">
        <x:f t="shared" si="13">IFERROR(P274/L274,0)</x:f>
        <x:v>0.18000000000000008</x:v>
      </x:c>
      <x:c r="T274" s="196" t="n">
        <x:f t="shared" si="14">IFERROR(L274/Q274,0)</x:f>
        <x:v>0.9192058499219129</x:v>
      </x:c>
    </x:row>
    <x:row r="275">
      <x:c r="A275" s="192" t="str">
        <x:f>'Raw Data'!A275</x:f>
        <x:v>ZOM-0271</x:v>
      </x:c>
      <x:c r="B275" s="193" t="n">
        <x:f>'Raw Data'!B275</x:f>
        <x:v>45928</x:v>
      </x:c>
      <x:c r="C275" s="236" t="str">
        <x:f>'Raw Data'!C275</x:f>
        <x:v>Central</x:v>
      </x:c>
      <x:c r="D275" s="192" t="str">
        <x:f>'Raw Data'!D275</x:f>
        <x:v>Indore</x:v>
      </x:c>
      <x:c r="E275" s="192" t="str">
        <x:f>'Raw Data'!E275</x:f>
        <x:v>Biryani</x:v>
      </x:c>
      <x:c r="F275" s="192" t="str">
        <x:f>'Raw Data'!F275</x:f>
        <x:v>Student</x:v>
      </x:c>
      <x:c r="G275" s="192" t="str">
        <x:f>'Raw Data'!G275</x:f>
        <x:v>Student Customer 22</x:v>
      </x:c>
      <x:c r="H275" s="192" t="n">
        <x:f>'Raw Data'!H275</x:f>
        <x:v>48</x:v>
      </x:c>
      <x:c r="I275" s="195" t="n">
        <x:f>'Raw Data'!I275</x:f>
        <x:v>423</x:v>
      </x:c>
      <x:c r="J275" s="196" t="n">
        <x:f>'Raw Data'!J275</x:f>
        <x:v>0.12</x:v>
      </x:c>
      <x:c r="K275" s="195" t="n">
        <x:f>'Raw Data'!K275</x:f>
        <x:v>20304</x:v>
      </x:c>
      <x:c r="L275" s="195" t="n">
        <x:f>'Raw Data'!L275</x:f>
        <x:v>17867.52</x:v>
      </x:c>
      <x:c r="M275" s="195" t="n">
        <x:f>'Raw Data'!M275</x:f>
        <x:v>13221.9648</x:v>
      </x:c>
      <x:c r="N275" s="195" t="n">
        <x:f>'Raw Data'!N275</x:f>
        <x:v>4645.555200000001</x:v>
      </x:c>
      <x:c r="O275" s="195" t="n">
        <x:f>'Raw Data'!O275</x:f>
        <x:v>2322.7776000000003</x:v>
      </x:c>
      <x:c r="P275" s="195" t="n">
        <x:f>'Raw Data'!P275</x:f>
        <x:v>2322.7776000000003</x:v>
      </x:c>
      <x:c r="Q275" s="195" t="n">
        <x:f>'Raw Data'!Q275</x:f>
        <x:v>17888.09227674966</x:v>
      </x:c>
      <x:c r="R275" s="196" t="n">
        <x:f t="shared" si="12">IFERROR(N275/L275,0)</x:f>
        <x:v>0.26</x:v>
      </x:c>
      <x:c r="S275" s="196" t="n">
        <x:f t="shared" si="13">IFERROR(P275/L275,0)</x:f>
        <x:v>0.13</x:v>
      </x:c>
      <x:c r="T275" s="196" t="n">
        <x:f t="shared" si="14">IFERROR(L275/Q275,0)</x:f>
        <x:v>0.9988499457386857</x:v>
      </x:c>
    </x:row>
    <x:row r="276">
      <x:c r="A276" s="192" t="str">
        <x:f>'Raw Data'!A276</x:f>
        <x:v>ZOM-0272</x:v>
      </x:c>
      <x:c r="B276" s="193" t="n">
        <x:f>'Raw Data'!B276</x:f>
        <x:v>45929</x:v>
      </x:c>
      <x:c r="C276" s="236" t="str">
        <x:f>'Raw Data'!C276</x:f>
        <x:v>North</x:v>
      </x:c>
      <x:c r="D276" s="192" t="str">
        <x:f>'Raw Data'!D276</x:f>
        <x:v>Jaipur</x:v>
      </x:c>
      <x:c r="E276" s="192" t="str">
        <x:f>'Raw Data'!E276</x:f>
        <x:v>Healthy</x:v>
      </x:c>
      <x:c r="F276" s="192" t="str">
        <x:f>'Raw Data'!F276</x:f>
        <x:v>Budget</x:v>
      </x:c>
      <x:c r="G276" s="192" t="str">
        <x:f>'Raw Data'!G276</x:f>
        <x:v>Budget Customer 10</x:v>
      </x:c>
      <x:c r="H276" s="192" t="n">
        <x:f>'Raw Data'!H276</x:f>
        <x:v>66</x:v>
      </x:c>
      <x:c r="I276" s="195" t="n">
        <x:f>'Raw Data'!I276</x:f>
        <x:v>354</x:v>
      </x:c>
      <x:c r="J276" s="196" t="n">
        <x:f>'Raw Data'!J276</x:f>
        <x:v>0.1</x:v>
      </x:c>
      <x:c r="K276" s="195" t="n">
        <x:f>'Raw Data'!K276</x:f>
        <x:v>23364</x:v>
      </x:c>
      <x:c r="L276" s="195" t="n">
        <x:f>'Raw Data'!L276</x:f>
        <x:v>21027.600000000002</x:v>
      </x:c>
      <x:c r="M276" s="195" t="n">
        <x:f>'Raw Data'!M276</x:f>
        <x:v>14719.32</x:v>
      </x:c>
      <x:c r="N276" s="195" t="n">
        <x:f>'Raw Data'!N276</x:f>
        <x:v>6308.2800000000025</x:v>
      </x:c>
      <x:c r="O276" s="195" t="n">
        <x:f>'Raw Data'!O276</x:f>
        <x:v>2733.588</x:v>
      </x:c>
      <x:c r="P276" s="195" t="n">
        <x:f>'Raw Data'!P276</x:f>
        <x:v>3574.6920000000023</x:v>
      </x:c>
      <x:c r="Q276" s="195" t="n">
        <x:f>'Raw Data'!Q276</x:f>
        <x:v>23481.670390827356</x:v>
      </x:c>
      <x:c r="R276" s="196" t="n">
        <x:f t="shared" si="12">IFERROR(N276/L276,0)</x:f>
        <x:v>0.3000000000000001</x:v>
      </x:c>
      <x:c r="S276" s="196" t="n">
        <x:f t="shared" si="13">IFERROR(P276/L276,0)</x:f>
        <x:v>0.1700000000000001</x:v>
      </x:c>
      <x:c r="T276" s="196" t="n">
        <x:f t="shared" si="14">IFERROR(L276/Q276,0)</x:f>
        <x:v>0.8954899566350277</x:v>
      </x:c>
    </x:row>
    <x:row r="277">
      <x:c r="A277" s="192" t="str">
        <x:f>'Raw Data'!A277</x:f>
        <x:v>ZOM-0273</x:v>
      </x:c>
      <x:c r="B277" s="193" t="n">
        <x:f>'Raw Data'!B277</x:f>
        <x:v>45930</x:v>
      </x:c>
      <x:c r="C277" s="236" t="str">
        <x:f>'Raw Data'!C277</x:f>
        <x:v>East</x:v>
      </x:c>
      <x:c r="D277" s="192" t="str">
        <x:f>'Raw Data'!D277</x:f>
        <x:v>Kolkata</x:v>
      </x:c>
      <x:c r="E277" s="192" t="str">
        <x:f>'Raw Data'!E277</x:f>
        <x:v>North Indian</x:v>
      </x:c>
      <x:c r="F277" s="192" t="str">
        <x:f>'Raw Data'!F277</x:f>
        <x:v>Repeat User</x:v>
      </x:c>
      <x:c r="G277" s="192" t="str">
        <x:f>'Raw Data'!G277</x:f>
        <x:v>Repeat User Customer 33</x:v>
      </x:c>
      <x:c r="H277" s="192" t="n">
        <x:f>'Raw Data'!H277</x:f>
        <x:v>121</x:v>
      </x:c>
      <x:c r="I277" s="195" t="n">
        <x:f>'Raw Data'!I277</x:f>
        <x:v>519</x:v>
      </x:c>
      <x:c r="J277" s="196" t="n">
        <x:f>'Raw Data'!J277</x:f>
        <x:v>0.05</x:v>
      </x:c>
      <x:c r="K277" s="195" t="n">
        <x:f>'Raw Data'!K277</x:f>
        <x:v>62799</x:v>
      </x:c>
      <x:c r="L277" s="195" t="n">
        <x:f>'Raw Data'!L277</x:f>
        <x:v>59659.049999999996</x:v>
      </x:c>
      <x:c r="M277" s="195" t="n">
        <x:f>'Raw Data'!M277</x:f>
        <x:v>43551.106499999994</x:v>
      </x:c>
      <x:c r="N277" s="195" t="n">
        <x:f>'Raw Data'!N277</x:f>
        <x:v>16107.943500000001</x:v>
      </x:c>
      <x:c r="O277" s="195" t="n">
        <x:f>'Raw Data'!O277</x:f>
        <x:v>7755.6765</x:v>
      </x:c>
      <x:c r="P277" s="195" t="n">
        <x:f>'Raw Data'!P277</x:f>
        <x:v>8352.267000000002</x:v>
      </x:c>
      <x:c r="Q277" s="195" t="n">
        <x:f>'Raw Data'!Q277</x:f>
        <x:v>63816.83686766064</x:v>
      </x:c>
      <x:c r="R277" s="196" t="n">
        <x:f t="shared" si="12">IFERROR(N277/L277,0)</x:f>
        <x:v>0.27</x:v>
      </x:c>
      <x:c r="S277" s="196" t="n">
        <x:f t="shared" si="13">IFERROR(P277/L277,0)</x:f>
        <x:v>0.14000000000000004</x:v>
      </x:c>
      <x:c r="T277" s="196" t="n">
        <x:f t="shared" si="14">IFERROR(L277/Q277,0)</x:f>
        <x:v>0.9348481204688537</x:v>
      </x:c>
    </x:row>
    <x:row r="278">
      <x:c r="A278" s="192" t="str">
        <x:f>'Raw Data'!A278</x:f>
        <x:v>ZOM-0274</x:v>
      </x:c>
      <x:c r="B278" s="193" t="n">
        <x:f>'Raw Data'!B278</x:f>
        <x:v>45931</x:v>
      </x:c>
      <x:c r="C278" s="236" t="str">
        <x:f>'Raw Data'!C278</x:f>
        <x:v>North</x:v>
      </x:c>
      <x:c r="D278" s="192" t="str">
        <x:f>'Raw Data'!D278</x:f>
        <x:v>Jaipur</x:v>
      </x:c>
      <x:c r="E278" s="192" t="str">
        <x:f>'Raw Data'!E278</x:f>
        <x:v>North Indian</x:v>
      </x:c>
      <x:c r="F278" s="192" t="str">
        <x:f>'Raw Data'!F278</x:f>
        <x:v>Corporate</x:v>
      </x:c>
      <x:c r="G278" s="192" t="str">
        <x:f>'Raw Data'!G278</x:f>
        <x:v>Corporate Customer 52</x:v>
      </x:c>
      <x:c r="H278" s="192" t="n">
        <x:f>'Raw Data'!H278</x:f>
        <x:v>151</x:v>
      </x:c>
      <x:c r="I278" s="195" t="n">
        <x:f>'Raw Data'!I278</x:f>
        <x:v>575</x:v>
      </x:c>
      <x:c r="J278" s="196" t="n">
        <x:f>'Raw Data'!J278</x:f>
        <x:v>0.02</x:v>
      </x:c>
      <x:c r="K278" s="195" t="n">
        <x:f>'Raw Data'!K278</x:f>
        <x:v>86825</x:v>
      </x:c>
      <x:c r="L278" s="195" t="n">
        <x:f>'Raw Data'!L278</x:f>
        <x:v>85088.5</x:v>
      </x:c>
      <x:c r="M278" s="195" t="n">
        <x:f>'Raw Data'!M278</x:f>
        <x:v>62114.604999999996</x:v>
      </x:c>
      <x:c r="N278" s="195" t="n">
        <x:f>'Raw Data'!N278</x:f>
        <x:v>22973.895000000004</x:v>
      </x:c>
      <x:c r="O278" s="195" t="n">
        <x:f>'Raw Data'!O278</x:f>
        <x:v>11061.505000000001</x:v>
      </x:c>
      <x:c r="P278" s="195" t="n">
        <x:f>'Raw Data'!P278</x:f>
        <x:v>11912.390000000003</x:v>
      </x:c>
      <x:c r="Q278" s="195" t="n">
        <x:f>'Raw Data'!Q278</x:f>
        <x:v>88304.9363318612</x:v>
      </x:c>
      <x:c r="R278" s="196" t="n">
        <x:f t="shared" si="12">IFERROR(N278/L278,0)</x:f>
        <x:v>0.2700000000000001</x:v>
      </x:c>
      <x:c r="S278" s="196" t="n">
        <x:f t="shared" si="13">IFERROR(P278/L278,0)</x:f>
        <x:v>0.14000000000000004</x:v>
      </x:c>
      <x:c r="T278" s="196" t="n">
        <x:f t="shared" si="14">IFERROR(L278/Q278,0)</x:f>
        <x:v>0.9635758037379312</x:v>
      </x:c>
    </x:row>
    <x:row r="279">
      <x:c r="A279" s="192" t="str">
        <x:f>'Raw Data'!A279</x:f>
        <x:v>ZOM-0275</x:v>
      </x:c>
      <x:c r="B279" s="193" t="n">
        <x:f>'Raw Data'!B279</x:f>
        <x:v>45932</x:v>
      </x:c>
      <x:c r="C279" s="236" t="str">
        <x:f>'Raw Data'!C279</x:f>
        <x:v>South</x:v>
      </x:c>
      <x:c r="D279" s="192" t="str">
        <x:f>'Raw Data'!D279</x:f>
        <x:v>Chennai</x:v>
      </x:c>
      <x:c r="E279" s="192" t="str">
        <x:f>'Raw Data'!E279</x:f>
        <x:v>Pizza</x:v>
      </x:c>
      <x:c r="F279" s="192" t="str">
        <x:f>'Raw Data'!F279</x:f>
        <x:v>Repeat User</x:v>
      </x:c>
      <x:c r="G279" s="192" t="str">
        <x:f>'Raw Data'!G279</x:f>
        <x:v>Repeat User Customer 11</x:v>
      </x:c>
      <x:c r="H279" s="192" t="n">
        <x:f>'Raw Data'!H279</x:f>
        <x:v>88</x:v>
      </x:c>
      <x:c r="I279" s="195" t="n">
        <x:f>'Raw Data'!I279</x:f>
        <x:v>760</x:v>
      </x:c>
      <x:c r="J279" s="196" t="n">
        <x:f>'Raw Data'!J279</x:f>
        <x:v>0.05</x:v>
      </x:c>
      <x:c r="K279" s="195" t="n">
        <x:f>'Raw Data'!K279</x:f>
        <x:v>66880</x:v>
      </x:c>
      <x:c r="L279" s="195" t="n">
        <x:f>'Raw Data'!L279</x:f>
        <x:v>63536</x:v>
      </x:c>
      <x:c r="M279" s="195" t="n">
        <x:f>'Raw Data'!M279</x:f>
        <x:v>47016.64</x:v>
      </x:c>
      <x:c r="N279" s="195" t="n">
        <x:f>'Raw Data'!N279</x:f>
        <x:v>16519.36</x:v>
      </x:c>
      <x:c r="O279" s="195" t="n">
        <x:f>'Raw Data'!O279</x:f>
        <x:v>8259.68</x:v>
      </x:c>
      <x:c r="P279" s="195" t="n">
        <x:f>'Raw Data'!P279</x:f>
        <x:v>8259.68</x:v>
      </x:c>
      <x:c r="Q279" s="195" t="n">
        <x:f>'Raw Data'!Q279</x:f>
        <x:v>64720.89977465487</x:v>
      </x:c>
      <x:c r="R279" s="196" t="n">
        <x:f t="shared" si="12">IFERROR(N279/L279,0)</x:f>
        <x:v>0.26</x:v>
      </x:c>
      <x:c r="S279" s="196" t="n">
        <x:f t="shared" si="13">IFERROR(P279/L279,0)</x:f>
        <x:v>0.13</x:v>
      </x:c>
      <x:c r="T279" s="196" t="n">
        <x:f t="shared" si="14">IFERROR(L279/Q279,0)</x:f>
        <x:v>0.9816921615926161</x:v>
      </x:c>
    </x:row>
    <x:row r="280">
      <x:c r="A280" s="192" t="str">
        <x:f>'Raw Data'!A280</x:f>
        <x:v>ZOM-0276</x:v>
      </x:c>
      <x:c r="B280" s="193" t="n">
        <x:f>'Raw Data'!B280</x:f>
        <x:v>45933</x:v>
      </x:c>
      <x:c r="C280" s="236" t="str">
        <x:f>'Raw Data'!C280</x:f>
        <x:v>West</x:v>
      </x:c>
      <x:c r="D280" s="192" t="str">
        <x:f>'Raw Data'!D280</x:f>
        <x:v>Ahmedabad</x:v>
      </x:c>
      <x:c r="E280" s="192" t="str">
        <x:f>'Raw Data'!E280</x:f>
        <x:v>South Indian</x:v>
      </x:c>
      <x:c r="F280" s="192" t="str">
        <x:f>'Raw Data'!F280</x:f>
        <x:v>Gold User</x:v>
      </x:c>
      <x:c r="G280" s="192" t="str">
        <x:f>'Raw Data'!G280</x:f>
        <x:v>Gold User Customer 44</x:v>
      </x:c>
      <x:c r="H280" s="192" t="n">
        <x:f>'Raw Data'!H280</x:f>
        <x:v>123</x:v>
      </x:c>
      <x:c r="I280" s="195" t="n">
        <x:f>'Raw Data'!I280</x:f>
        <x:v>365</x:v>
      </x:c>
      <x:c r="J280" s="196" t="n">
        <x:f>'Raw Data'!J280</x:f>
        <x:v>0.04</x:v>
      </x:c>
      <x:c r="K280" s="195" t="n">
        <x:f>'Raw Data'!K280</x:f>
        <x:v>44895</x:v>
      </x:c>
      <x:c r="L280" s="195" t="n">
        <x:f>'Raw Data'!L280</x:f>
        <x:v>43099.2</x:v>
      </x:c>
      <x:c r="M280" s="195" t="n">
        <x:f>'Raw Data'!M280</x:f>
        <x:v>31893.407999999996</x:v>
      </x:c>
      <x:c r="N280" s="195" t="n">
        <x:f>'Raw Data'!N280</x:f>
        <x:v>11205.792000000001</x:v>
      </x:c>
      <x:c r="O280" s="195" t="n">
        <x:f>'Raw Data'!O280</x:f>
        <x:v>5602.896</x:v>
      </x:c>
      <x:c r="P280" s="195" t="n">
        <x:f>'Raw Data'!P280</x:f>
        <x:v>5602.896000000002</x:v>
      </x:c>
      <x:c r="Q280" s="195" t="n">
        <x:f>'Raw Data'!Q280</x:f>
        <x:v>43914.37159910665</x:v>
      </x:c>
      <x:c r="R280" s="196" t="n">
        <x:f t="shared" si="12">IFERROR(N280/L280,0)</x:f>
        <x:v>0.26000000000000006</x:v>
      </x:c>
      <x:c r="S280" s="196" t="n">
        <x:f t="shared" si="13">IFERROR(P280/L280,0)</x:f>
        <x:v>0.13000000000000003</x:v>
      </x:c>
      <x:c r="T280" s="196" t="n">
        <x:f t="shared" si="14">IFERROR(L280/Q280,0)</x:f>
        <x:v>0.9814372477750943</x:v>
      </x:c>
    </x:row>
    <x:row r="281">
      <x:c r="A281" s="192" t="str">
        <x:f>'Raw Data'!A281</x:f>
        <x:v>ZOM-0277</x:v>
      </x:c>
      <x:c r="B281" s="193" t="n">
        <x:f>'Raw Data'!B281</x:f>
        <x:v>45934</x:v>
      </x:c>
      <x:c r="C281" s="236" t="str">
        <x:f>'Raw Data'!C281</x:f>
        <x:v>South</x:v>
      </x:c>
      <x:c r="D281" s="192" t="str">
        <x:f>'Raw Data'!D281</x:f>
        <x:v>Coimbatore</x:v>
      </x:c>
      <x:c r="E281" s="192" t="str">
        <x:f>'Raw Data'!E281</x:f>
        <x:v>North Indian</x:v>
      </x:c>
      <x:c r="F281" s="192" t="str">
        <x:f>'Raw Data'!F281</x:f>
        <x:v>Budget</x:v>
      </x:c>
      <x:c r="G281" s="192" t="str">
        <x:f>'Raw Data'!G281</x:f>
        <x:v>Budget Customer 20</x:v>
      </x:c>
      <x:c r="H281" s="192" t="n">
        <x:f>'Raw Data'!H281</x:f>
        <x:v>100</x:v>
      </x:c>
      <x:c r="I281" s="195" t="n">
        <x:f>'Raw Data'!I281</x:f>
        <x:v>460</x:v>
      </x:c>
      <x:c r="J281" s="196" t="n">
        <x:f>'Raw Data'!J281</x:f>
        <x:v>0.1</x:v>
      </x:c>
      <x:c r="K281" s="195" t="n">
        <x:f>'Raw Data'!K281</x:f>
        <x:v>46000</x:v>
      </x:c>
      <x:c r="L281" s="195" t="n">
        <x:f>'Raw Data'!L281</x:f>
        <x:v>41400</x:v>
      </x:c>
      <x:c r="M281" s="195" t="n">
        <x:f>'Raw Data'!M281</x:f>
        <x:v>30222</x:v>
      </x:c>
      <x:c r="N281" s="195" t="n">
        <x:f>'Raw Data'!N281</x:f>
        <x:v>11178</x:v>
      </x:c>
      <x:c r="O281" s="195" t="n">
        <x:f>'Raw Data'!O281</x:f>
        <x:v>5382</x:v>
      </x:c>
      <x:c r="P281" s="195" t="n">
        <x:f>'Raw Data'!P281</x:f>
        <x:v>5796</x:v>
      </x:c>
      <x:c r="Q281" s="195" t="n">
        <x:f>'Raw Data'!Q281</x:f>
        <x:v>41643.18666818922</x:v>
      </x:c>
      <x:c r="R281" s="196" t="n">
        <x:f t="shared" si="12">IFERROR(N281/L281,0)</x:f>
        <x:v>0.27</x:v>
      </x:c>
      <x:c r="S281" s="196" t="n">
        <x:f t="shared" si="13">IFERROR(P281/L281,0)</x:f>
        <x:v>0.14</x:v>
      </x:c>
      <x:c r="T281" s="196" t="n">
        <x:f t="shared" si="14">IFERROR(L281/Q281,0)</x:f>
        <x:v>0.9941602291359948</x:v>
      </x:c>
    </x:row>
    <x:row r="282">
      <x:c r="A282" s="192" t="str">
        <x:f>'Raw Data'!A282</x:f>
        <x:v>ZOM-0278</x:v>
      </x:c>
      <x:c r="B282" s="193" t="n">
        <x:f>'Raw Data'!B282</x:f>
        <x:v>45935</x:v>
      </x:c>
      <x:c r="C282" s="236" t="str">
        <x:f>'Raw Data'!C282</x:f>
        <x:v>South</x:v>
      </x:c>
      <x:c r="D282" s="192" t="str">
        <x:f>'Raw Data'!D282</x:f>
        <x:v>Hyderabad</x:v>
      </x:c>
      <x:c r="E282" s="192" t="str">
        <x:f>'Raw Data'!E282</x:f>
        <x:v>North Indian</x:v>
      </x:c>
      <x:c r="F282" s="192" t="str">
        <x:f>'Raw Data'!F282</x:f>
        <x:v>Repeat User</x:v>
      </x:c>
      <x:c r="G282" s="192" t="str">
        <x:f>'Raw Data'!G282</x:f>
        <x:v>Repeat User Customer 08</x:v>
      </x:c>
      <x:c r="H282" s="192" t="n">
        <x:f>'Raw Data'!H282</x:f>
        <x:v>141</x:v>
      </x:c>
      <x:c r="I282" s="195" t="n">
        <x:f>'Raw Data'!I282</x:f>
        <x:v>551</x:v>
      </x:c>
      <x:c r="J282" s="196" t="n">
        <x:f>'Raw Data'!J282</x:f>
        <x:v>0.05</x:v>
      </x:c>
      <x:c r="K282" s="195" t="n">
        <x:f>'Raw Data'!K282</x:f>
        <x:v>77691</x:v>
      </x:c>
      <x:c r="L282" s="195" t="n">
        <x:f>'Raw Data'!L282</x:f>
        <x:v>73806.45</x:v>
      </x:c>
      <x:c r="M282" s="195" t="n">
        <x:f>'Raw Data'!M282</x:f>
        <x:v>53878.70849999999</x:v>
      </x:c>
      <x:c r="N282" s="195" t="n">
        <x:f>'Raw Data'!N282</x:f>
        <x:v>19927.741500000004</x:v>
      </x:c>
      <x:c r="O282" s="195" t="n">
        <x:f>'Raw Data'!O282</x:f>
        <x:v>9594.8385</x:v>
      </x:c>
      <x:c r="P282" s="195" t="n">
        <x:f>'Raw Data'!P282</x:f>
        <x:v>10332.903000000004</x:v>
      </x:c>
      <x:c r="Q282" s="195" t="n">
        <x:f>'Raw Data'!Q282</x:f>
        <x:v>80837.043490774</x:v>
      </x:c>
      <x:c r="R282" s="196" t="n">
        <x:f t="shared" si="12">IFERROR(N282/L282,0)</x:f>
        <x:v>0.2700000000000001</x:v>
      </x:c>
      <x:c r="S282" s="196" t="n">
        <x:f t="shared" si="13">IFERROR(P282/L282,0)</x:f>
        <x:v>0.14000000000000007</x:v>
      </x:c>
      <x:c r="T282" s="196" t="n">
        <x:f t="shared" si="14">IFERROR(L282/Q282,0)</x:f>
        <x:v>0.9130275776157448</x:v>
      </x:c>
    </x:row>
    <x:row r="283">
      <x:c r="A283" s="192" t="str">
        <x:f>'Raw Data'!A283</x:f>
        <x:v>ZOM-0279</x:v>
      </x:c>
      <x:c r="B283" s="193" t="n">
        <x:f>'Raw Data'!B283</x:f>
        <x:v>45936</x:v>
      </x:c>
      <x:c r="C283" s="236" t="str">
        <x:f>'Raw Data'!C283</x:f>
        <x:v>North</x:v>
      </x:c>
      <x:c r="D283" s="192" t="str">
        <x:f>'Raw Data'!D283</x:f>
        <x:v>Noida</x:v>
      </x:c>
      <x:c r="E283" s="192" t="str">
        <x:f>'Raw Data'!E283</x:f>
        <x:v>North Indian</x:v>
      </x:c>
      <x:c r="F283" s="192" t="str">
        <x:f>'Raw Data'!F283</x:f>
        <x:v>Budget</x:v>
      </x:c>
      <x:c r="G283" s="192" t="str">
        <x:f>'Raw Data'!G283</x:f>
        <x:v>Budget Customer 02</x:v>
      </x:c>
      <x:c r="H283" s="192" t="n">
        <x:f>'Raw Data'!H283</x:f>
        <x:v>100</x:v>
      </x:c>
      <x:c r="I283" s="195" t="n">
        <x:f>'Raw Data'!I283</x:f>
        <x:v>580</x:v>
      </x:c>
      <x:c r="J283" s="196" t="n">
        <x:f>'Raw Data'!J283</x:f>
        <x:v>0.08</x:v>
      </x:c>
      <x:c r="K283" s="195" t="n">
        <x:f>'Raw Data'!K283</x:f>
        <x:v>58000</x:v>
      </x:c>
      <x:c r="L283" s="195" t="n">
        <x:f>'Raw Data'!L283</x:f>
        <x:v>53360</x:v>
      </x:c>
      <x:c r="M283" s="195" t="n">
        <x:f>'Raw Data'!M283</x:f>
        <x:v>38952.799999999996</x:v>
      </x:c>
      <x:c r="N283" s="195" t="n">
        <x:f>'Raw Data'!N283</x:f>
        <x:v>14407.200000000004</x:v>
      </x:c>
      <x:c r="O283" s="195" t="n">
        <x:f>'Raw Data'!O283</x:f>
        <x:v>6936.8</x:v>
      </x:c>
      <x:c r="P283" s="195" t="n">
        <x:f>'Raw Data'!P283</x:f>
        <x:v>7470.400000000004</x:v>
      </x:c>
      <x:c r="Q283" s="195" t="n">
        <x:f>'Raw Data'!Q283</x:f>
        <x:v>58564.1821770203</x:v>
      </x:c>
      <x:c r="R283" s="196" t="n">
        <x:f t="shared" si="12">IFERROR(N283/L283,0)</x:f>
        <x:v>0.2700000000000001</x:v>
      </x:c>
      <x:c r="S283" s="196" t="n">
        <x:f t="shared" si="13">IFERROR(P283/L283,0)</x:f>
        <x:v>0.14000000000000007</x:v>
      </x:c>
      <x:c r="T283" s="196" t="n">
        <x:f t="shared" si="14">IFERROR(L283/Q283,0)</x:f>
        <x:v>0.9111371151518898</x:v>
      </x:c>
    </x:row>
    <x:row r="284">
      <x:c r="A284" s="192" t="str">
        <x:f>'Raw Data'!A284</x:f>
        <x:v>ZOM-0280</x:v>
      </x:c>
      <x:c r="B284" s="193" t="n">
        <x:f>'Raw Data'!B284</x:f>
        <x:v>45937</x:v>
      </x:c>
      <x:c r="C284" s="236" t="str">
        <x:f>'Raw Data'!C284</x:f>
        <x:v>Metro</x:v>
      </x:c>
      <x:c r="D284" s="192" t="str">
        <x:f>'Raw Data'!D284</x:f>
        <x:v>Mumbai</x:v>
      </x:c>
      <x:c r="E284" s="192" t="str">
        <x:f>'Raw Data'!E284</x:f>
        <x:v>Beverages</x:v>
      </x:c>
      <x:c r="F284" s="192" t="str">
        <x:f>'Raw Data'!F284</x:f>
        <x:v>Gold User</x:v>
      </x:c>
      <x:c r="G284" s="192" t="str">
        <x:f>'Raw Data'!G284</x:f>
        <x:v>Gold User Customer 60</x:v>
      </x:c>
      <x:c r="H284" s="192" t="n">
        <x:f>'Raw Data'!H284</x:f>
        <x:v>115</x:v>
      </x:c>
      <x:c r="I284" s="195" t="n">
        <x:f>'Raw Data'!I284</x:f>
        <x:v>189</x:v>
      </x:c>
      <x:c r="J284" s="196" t="n">
        <x:f>'Raw Data'!J284</x:f>
        <x:v>0.03</x:v>
      </x:c>
      <x:c r="K284" s="195" t="n">
        <x:f>'Raw Data'!K284</x:f>
        <x:v>21735</x:v>
      </x:c>
      <x:c r="L284" s="195" t="n">
        <x:f>'Raw Data'!L284</x:f>
        <x:v>21082.95</x:v>
      </x:c>
      <x:c r="M284" s="195" t="n">
        <x:f>'Raw Data'!M284</x:f>
        <x:v>14336.405999999999</x:v>
      </x:c>
      <x:c r="N284" s="195" t="n">
        <x:f>'Raw Data'!N284</x:f>
        <x:v>6746.544000000002</x:v>
      </x:c>
      <x:c r="O284" s="195" t="n">
        <x:f>'Raw Data'!O284</x:f>
        <x:v>2740.7835</x:v>
      </x:c>
      <x:c r="P284" s="195" t="n">
        <x:f>'Raw Data'!P284</x:f>
        <x:v>4005.7605000000017</x:v>
      </x:c>
      <x:c r="Q284" s="195" t="n">
        <x:f>'Raw Data'!Q284</x:f>
        <x:v>21211.06105398136</x:v>
      </x:c>
      <x:c r="R284" s="196" t="n">
        <x:f t="shared" si="12">IFERROR(N284/L284,0)</x:f>
        <x:v>0.32000000000000006</x:v>
      </x:c>
      <x:c r="S284" s="196" t="n">
        <x:f t="shared" si="13">IFERROR(P284/L284,0)</x:f>
        <x:v>0.19000000000000009</x:v>
      </x:c>
      <x:c r="T284" s="196" t="n">
        <x:f t="shared" si="14">IFERROR(L284/Q284,0)</x:f>
        <x:v>0.9939601770201254</x:v>
      </x:c>
    </x:row>
    <x:row r="285">
      <x:c r="A285" s="192" t="str">
        <x:f>'Raw Data'!A285</x:f>
        <x:v>ZOM-0281</x:v>
      </x:c>
      <x:c r="B285" s="193" t="n">
        <x:f>'Raw Data'!B285</x:f>
        <x:v>45938</x:v>
      </x:c>
      <x:c r="C285" s="236" t="str">
        <x:f>'Raw Data'!C285</x:f>
        <x:v>West</x:v>
      </x:c>
      <x:c r="D285" s="192" t="str">
        <x:f>'Raw Data'!D285</x:f>
        <x:v>Surat</x:v>
      </x:c>
      <x:c r="E285" s="192" t="str">
        <x:f>'Raw Data'!E285</x:f>
        <x:v>South Indian</x:v>
      </x:c>
      <x:c r="F285" s="192" t="str">
        <x:f>'Raw Data'!F285</x:f>
        <x:v>Repeat User</x:v>
      </x:c>
      <x:c r="G285" s="192" t="str">
        <x:f>'Raw Data'!G285</x:f>
        <x:v>Repeat User Customer 10</x:v>
      </x:c>
      <x:c r="H285" s="192" t="n">
        <x:f>'Raw Data'!H285</x:f>
        <x:v>143</x:v>
      </x:c>
      <x:c r="I285" s="195" t="n">
        <x:f>'Raw Data'!I285</x:f>
        <x:v>322</x:v>
      </x:c>
      <x:c r="J285" s="196" t="n">
        <x:f>'Raw Data'!J285</x:f>
        <x:v>0.05</x:v>
      </x:c>
      <x:c r="K285" s="195" t="n">
        <x:f>'Raw Data'!K285</x:f>
        <x:v>46046</x:v>
      </x:c>
      <x:c r="L285" s="195" t="n">
        <x:f>'Raw Data'!L285</x:f>
        <x:v>43743.7</x:v>
      </x:c>
      <x:c r="M285" s="195" t="n">
        <x:f>'Raw Data'!M285</x:f>
        <x:v>32370.337999999996</x:v>
      </x:c>
      <x:c r="N285" s="195" t="n">
        <x:f>'Raw Data'!N285</x:f>
        <x:v>11373.362000000001</x:v>
      </x:c>
      <x:c r="O285" s="195" t="n">
        <x:f>'Raw Data'!O285</x:f>
        <x:v>5686.681</x:v>
      </x:c>
      <x:c r="P285" s="195" t="n">
        <x:f>'Raw Data'!P285</x:f>
        <x:v>5686.681000000001</x:v>
      </x:c>
      <x:c r="Q285" s="195" t="n">
        <x:f>'Raw Data'!Q285</x:f>
        <x:v>46084.92282625338</x:v>
      </x:c>
      <x:c r="R285" s="196" t="n">
        <x:f t="shared" si="12">IFERROR(N285/L285,0)</x:f>
        <x:v>0.26000000000000006</x:v>
      </x:c>
      <x:c r="S285" s="196" t="n">
        <x:f t="shared" si="13">IFERROR(P285/L285,0)</x:f>
        <x:v>0.13000000000000003</x:v>
      </x:c>
      <x:c r="T285" s="196" t="n">
        <x:f t="shared" si="14">IFERROR(L285/Q285,0)</x:f>
        <x:v>0.9491976402981053</x:v>
      </x:c>
    </x:row>
    <x:row r="286">
      <x:c r="A286" s="192" t="str">
        <x:f>'Raw Data'!A286</x:f>
        <x:v>ZOM-0282</x:v>
      </x:c>
      <x:c r="B286" s="193" t="n">
        <x:f>'Raw Data'!B286</x:f>
        <x:v>45939</x:v>
      </x:c>
      <x:c r="C286" s="236" t="str">
        <x:f>'Raw Data'!C286</x:f>
        <x:v>North</x:v>
      </x:c>
      <x:c r="D286" s="192" t="str">
        <x:f>'Raw Data'!D286</x:f>
        <x:v>Lucknow</x:v>
      </x:c>
      <x:c r="E286" s="192" t="str">
        <x:f>'Raw Data'!E286</x:f>
        <x:v>Burgers</x:v>
      </x:c>
      <x:c r="F286" s="192" t="str">
        <x:f>'Raw Data'!F286</x:f>
        <x:v>Corporate</x:v>
      </x:c>
      <x:c r="G286" s="192" t="str">
        <x:f>'Raw Data'!G286</x:f>
        <x:v>Corporate Customer 13</x:v>
      </x:c>
      <x:c r="H286" s="192" t="n">
        <x:f>'Raw Data'!H286</x:f>
        <x:v>161</x:v>
      </x:c>
      <x:c r="I286" s="195" t="n">
        <x:f>'Raw Data'!I286</x:f>
        <x:v>409</x:v>
      </x:c>
      <x:c r="J286" s="196" t="n">
        <x:f>'Raw Data'!J286</x:f>
        <x:v>0.03</x:v>
      </x:c>
      <x:c r="K286" s="195" t="n">
        <x:f>'Raw Data'!K286</x:f>
        <x:v>65849</x:v>
      </x:c>
      <x:c r="L286" s="195" t="n">
        <x:f>'Raw Data'!L286</x:f>
        <x:v>63873.53</x:v>
      </x:c>
      <x:c r="M286" s="195" t="n">
        <x:f>'Raw Data'!M286</x:f>
        <x:v>47266.4122</x:v>
      </x:c>
      <x:c r="N286" s="195" t="n">
        <x:f>'Raw Data'!N286</x:f>
        <x:v>16607.1178</x:v>
      </x:c>
      <x:c r="O286" s="195" t="n">
        <x:f>'Raw Data'!O286</x:f>
        <x:v>8303.5589</x:v>
      </x:c>
      <x:c r="P286" s="195" t="n">
        <x:f>'Raw Data'!P286</x:f>
        <x:v>8303.5589</x:v>
      </x:c>
      <x:c r="Q286" s="195" t="n">
        <x:f>'Raw Data'!Q286</x:f>
        <x:v>64925.41986288385</x:v>
      </x:c>
      <x:c r="R286" s="196" t="n">
        <x:f t="shared" si="12">IFERROR(N286/L286,0)</x:f>
        <x:v>0.26</x:v>
      </x:c>
      <x:c r="S286" s="196" t="n">
        <x:f t="shared" si="13">IFERROR(P286/L286,0)</x:f>
        <x:v>0.13</x:v>
      </x:c>
      <x:c r="T286" s="196" t="n">
        <x:f t="shared" si="14">IFERROR(L286/Q286,0)</x:f>
        <x:v>0.9837984896346402</x:v>
      </x:c>
    </x:row>
    <x:row r="287">
      <x:c r="A287" s="192" t="str">
        <x:f>'Raw Data'!A287</x:f>
        <x:v>ZOM-0283</x:v>
      </x:c>
      <x:c r="B287" s="193" t="n">
        <x:f>'Raw Data'!B287</x:f>
        <x:v>45940</x:v>
      </x:c>
      <x:c r="C287" s="236" t="str">
        <x:f>'Raw Data'!C287</x:f>
        <x:v>East</x:v>
      </x:c>
      <x:c r="D287" s="192" t="str">
        <x:f>'Raw Data'!D287</x:f>
        <x:v>Guwahati</x:v>
      </x:c>
      <x:c r="E287" s="192" t="str">
        <x:f>'Raw Data'!E287</x:f>
        <x:v>Biryani</x:v>
      </x:c>
      <x:c r="F287" s="192" t="str">
        <x:f>'Raw Data'!F287</x:f>
        <x:v>Student</x:v>
      </x:c>
      <x:c r="G287" s="192" t="str">
        <x:f>'Raw Data'!G287</x:f>
        <x:v>Student Customer 32</x:v>
      </x:c>
      <x:c r="H287" s="192" t="n">
        <x:f>'Raw Data'!H287</x:f>
        <x:v>102</x:v>
      </x:c>
      <x:c r="I287" s="195" t="n">
        <x:f>'Raw Data'!I287</x:f>
        <x:v>534</x:v>
      </x:c>
      <x:c r="J287" s="196" t="n">
        <x:f>'Raw Data'!J287</x:f>
        <x:v>0.13</x:v>
      </x:c>
      <x:c r="K287" s="195" t="n">
        <x:f>'Raw Data'!K287</x:f>
        <x:v>54468</x:v>
      </x:c>
      <x:c r="L287" s="195" t="n">
        <x:f>'Raw Data'!L287</x:f>
        <x:v>47387.159999999996</x:v>
      </x:c>
      <x:c r="M287" s="195" t="n">
        <x:f>'Raw Data'!M287</x:f>
        <x:v>35066.4984</x:v>
      </x:c>
      <x:c r="N287" s="195" t="n">
        <x:f>'Raw Data'!N287</x:f>
        <x:v>12320.6616</x:v>
      </x:c>
      <x:c r="O287" s="195" t="n">
        <x:f>'Raw Data'!O287</x:f>
        <x:v>6160.3308</x:v>
      </x:c>
      <x:c r="P287" s="195" t="n">
        <x:f>'Raw Data'!P287</x:f>
        <x:v>6160.3308</x:v>
      </x:c>
      <x:c r="Q287" s="195" t="n">
        <x:f>'Raw Data'!Q287</x:f>
        <x:v>50483.53828768615</x:v>
      </x:c>
      <x:c r="R287" s="196" t="n">
        <x:f t="shared" si="12">IFERROR(N287/L287,0)</x:f>
        <x:v>0.26</x:v>
      </x:c>
      <x:c r="S287" s="196" t="n">
        <x:f t="shared" si="13">IFERROR(P287/L287,0)</x:f>
        <x:v>0.13</x:v>
      </x:c>
      <x:c r="T287" s="196" t="n">
        <x:f t="shared" si="14">IFERROR(L287/Q287,0)</x:f>
        <x:v>0.9386655850063225</x:v>
      </x:c>
    </x:row>
    <x:row r="288">
      <x:c r="A288" s="192" t="str">
        <x:f>'Raw Data'!A288</x:f>
        <x:v>ZOM-0284</x:v>
      </x:c>
      <x:c r="B288" s="193" t="n">
        <x:f>'Raw Data'!B288</x:f>
        <x:v>45941</x:v>
      </x:c>
      <x:c r="C288" s="236" t="str">
        <x:f>'Raw Data'!C288</x:f>
        <x:v>South</x:v>
      </x:c>
      <x:c r="D288" s="192" t="str">
        <x:f>'Raw Data'!D288</x:f>
        <x:v>Coimbatore</x:v>
      </x:c>
      <x:c r="E288" s="192" t="str">
        <x:f>'Raw Data'!E288</x:f>
        <x:v>Chinese</x:v>
      </x:c>
      <x:c r="F288" s="192" t="str">
        <x:f>'Raw Data'!F288</x:f>
        <x:v>Repeat User</x:v>
      </x:c>
      <x:c r="G288" s="192" t="str">
        <x:f>'Raw Data'!G288</x:f>
        <x:v>Repeat User Customer 52</x:v>
      </x:c>
      <x:c r="H288" s="192" t="n">
        <x:f>'Raw Data'!H288</x:f>
        <x:v>104</x:v>
      </x:c>
      <x:c r="I288" s="195" t="n">
        <x:f>'Raw Data'!I288</x:f>
        <x:v>366</x:v>
      </x:c>
      <x:c r="J288" s="196" t="n">
        <x:f>'Raw Data'!J288</x:f>
        <x:v>0.05</x:v>
      </x:c>
      <x:c r="K288" s="195" t="n">
        <x:f>'Raw Data'!K288</x:f>
        <x:v>38064</x:v>
      </x:c>
      <x:c r="L288" s="195" t="n">
        <x:f>'Raw Data'!L288</x:f>
        <x:v>36160.799999999996</x:v>
      </x:c>
      <x:c r="M288" s="195" t="n">
        <x:f>'Raw Data'!M288</x:f>
        <x:v>26758.991999999995</x:v>
      </x:c>
      <x:c r="N288" s="195" t="n">
        <x:f>'Raw Data'!N288</x:f>
        <x:v>9401.808</x:v>
      </x:c>
      <x:c r="O288" s="195" t="n">
        <x:f>'Raw Data'!O288</x:f>
        <x:v>4700.9039999999995</x:v>
      </x:c>
      <x:c r="P288" s="195" t="n">
        <x:f>'Raw Data'!P288</x:f>
        <x:v>4700.904000000001</x:v>
      </x:c>
      <x:c r="Q288" s="195" t="n">
        <x:f>'Raw Data'!Q288</x:f>
        <x:v>37379.84999083927</x:v>
      </x:c>
      <x:c r="R288" s="196" t="n">
        <x:f t="shared" si="12">IFERROR(N288/L288,0)</x:f>
        <x:v>0.26000000000000006</x:v>
      </x:c>
      <x:c r="S288" s="196" t="n">
        <x:f t="shared" si="13">IFERROR(P288/L288,0)</x:f>
        <x:v>0.13000000000000006</x:v>
      </x:c>
      <x:c r="T288" s="196" t="n">
        <x:f t="shared" si="14">IFERROR(L288/Q288,0)</x:f>
        <x:v>0.9673875098177754</x:v>
      </x:c>
    </x:row>
    <x:row r="289">
      <x:c r="A289" s="192" t="str">
        <x:f>'Raw Data'!A289</x:f>
        <x:v>ZOM-0285</x:v>
      </x:c>
      <x:c r="B289" s="193" t="n">
        <x:f>'Raw Data'!B289</x:f>
        <x:v>45942</x:v>
      </x:c>
      <x:c r="C289" s="236" t="str">
        <x:f>'Raw Data'!C289</x:f>
        <x:v>Metro</x:v>
      </x:c>
      <x:c r="D289" s="192" t="str">
        <x:f>'Raw Data'!D289</x:f>
        <x:v>Pune</x:v>
      </x:c>
      <x:c r="E289" s="192" t="str">
        <x:f>'Raw Data'!E289</x:f>
        <x:v>Pizza</x:v>
      </x:c>
      <x:c r="F289" s="192" t="str">
        <x:f>'Raw Data'!F289</x:f>
        <x:v>Corporate</x:v>
      </x:c>
      <x:c r="G289" s="192" t="str">
        <x:f>'Raw Data'!G289</x:f>
        <x:v>Corporate Customer 51</x:v>
      </x:c>
      <x:c r="H289" s="192" t="n">
        <x:f>'Raw Data'!H289</x:f>
        <x:v>136</x:v>
      </x:c>
      <x:c r="I289" s="195" t="n">
        <x:f>'Raw Data'!I289</x:f>
        <x:v>768</x:v>
      </x:c>
      <x:c r="J289" s="196" t="n">
        <x:f>'Raw Data'!J289</x:f>
        <x:v>0</x:v>
      </x:c>
      <x:c r="K289" s="195" t="n">
        <x:f>'Raw Data'!K289</x:f>
        <x:v>104448</x:v>
      </x:c>
      <x:c r="L289" s="195" t="n">
        <x:f>'Raw Data'!L289</x:f>
        <x:v>104448</x:v>
      </x:c>
      <x:c r="M289" s="195" t="n">
        <x:f>'Raw Data'!M289</x:f>
        <x:v>77291.52</x:v>
      </x:c>
      <x:c r="N289" s="195" t="n">
        <x:f>'Raw Data'!N289</x:f>
        <x:v>27156.479999999996</x:v>
      </x:c>
      <x:c r="O289" s="195" t="n">
        <x:f>'Raw Data'!O289</x:f>
        <x:v>13578.24</x:v>
      </x:c>
      <x:c r="P289" s="195" t="n">
        <x:f>'Raw Data'!P289</x:f>
        <x:v>13578.239999999996</x:v>
      </x:c>
      <x:c r="Q289" s="195" t="n">
        <x:f>'Raw Data'!Q289</x:f>
        <x:v>111137.1369170481</x:v>
      </x:c>
      <x:c r="R289" s="196" t="n">
        <x:f t="shared" si="12">IFERROR(N289/L289,0)</x:f>
        <x:v>0.25999999999999995</x:v>
      </x:c>
      <x:c r="S289" s="196" t="n">
        <x:f t="shared" si="13">IFERROR(P289/L289,0)</x:f>
        <x:v>0.12999999999999998</x:v>
      </x:c>
      <x:c r="T289" s="196" t="n">
        <x:f t="shared" si="14">IFERROR(L289/Q289,0)</x:f>
        <x:v>0.9398118657488826</x:v>
      </x:c>
    </x:row>
    <x:row r="290">
      <x:c r="A290" s="192" t="str">
        <x:f>'Raw Data'!A290</x:f>
        <x:v>ZOM-0286</x:v>
      </x:c>
      <x:c r="B290" s="193" t="n">
        <x:f>'Raw Data'!B290</x:f>
        <x:v>45943</x:v>
      </x:c>
      <x:c r="C290" s="236" t="str">
        <x:f>'Raw Data'!C290</x:f>
        <x:v>Metro</x:v>
      </x:c>
      <x:c r="D290" s="192" t="str">
        <x:f>'Raw Data'!D290</x:f>
        <x:v>Delhi</x:v>
      </x:c>
      <x:c r="E290" s="192" t="str">
        <x:f>'Raw Data'!E290</x:f>
        <x:v>Desserts</x:v>
      </x:c>
      <x:c r="F290" s="192" t="str">
        <x:f>'Raw Data'!F290</x:f>
        <x:v>Student</x:v>
      </x:c>
      <x:c r="G290" s="192" t="str">
        <x:f>'Raw Data'!G290</x:f>
        <x:v>Student Customer 12</x:v>
      </x:c>
      <x:c r="H290" s="192" t="n">
        <x:f>'Raw Data'!H290</x:f>
        <x:v>132</x:v>
      </x:c>
      <x:c r="I290" s="195" t="n">
        <x:f>'Raw Data'!I290</x:f>
        <x:v>332</x:v>
      </x:c>
      <x:c r="J290" s="196" t="n">
        <x:f>'Raw Data'!J290</x:f>
        <x:v>0.13</x:v>
      </x:c>
      <x:c r="K290" s="195" t="n">
        <x:f>'Raw Data'!K290</x:f>
        <x:v>43824</x:v>
      </x:c>
      <x:c r="L290" s="195" t="n">
        <x:f>'Raw Data'!L290</x:f>
        <x:v>38126.88</x:v>
      </x:c>
      <x:c r="M290" s="195" t="n">
        <x:f>'Raw Data'!M290</x:f>
        <x:v>26307.547199999997</x:v>
      </x:c>
      <x:c r="N290" s="195" t="n">
        <x:f>'Raw Data'!N290</x:f>
        <x:v>11819.3328</x:v>
      </x:c>
      <x:c r="O290" s="195" t="n">
        <x:f>'Raw Data'!O290</x:f>
        <x:v>4956.4944</x:v>
      </x:c>
      <x:c r="P290" s="195" t="n">
        <x:f>'Raw Data'!P290</x:f>
        <x:v>6862.838400000001</x:v>
      </x:c>
      <x:c r="Q290" s="195" t="n">
        <x:f>'Raw Data'!Q290</x:f>
        <x:v>41993.95631016131</x:v>
      </x:c>
      <x:c r="R290" s="196" t="n">
        <x:f t="shared" si="12">IFERROR(N290/L290,0)</x:f>
        <x:v>0.31</x:v>
      </x:c>
      <x:c r="S290" s="196" t="n">
        <x:f t="shared" si="13">IFERROR(P290/L290,0)</x:f>
        <x:v>0.18000000000000002</x:v>
      </x:c>
      <x:c r="T290" s="196" t="n">
        <x:f t="shared" si="14">IFERROR(L290/Q290,0)</x:f>
        <x:v>0.9079135035146572</x:v>
      </x:c>
    </x:row>
    <x:row r="291">
      <x:c r="A291" s="192" t="str">
        <x:f>'Raw Data'!A291</x:f>
        <x:v>ZOM-0287</x:v>
      </x:c>
      <x:c r="B291" s="193" t="n">
        <x:f>'Raw Data'!B291</x:f>
        <x:v>45944</x:v>
      </x:c>
      <x:c r="C291" s="236" t="str">
        <x:f>'Raw Data'!C291</x:f>
        <x:v>South</x:v>
      </x:c>
      <x:c r="D291" s="192" t="str">
        <x:f>'Raw Data'!D291</x:f>
        <x:v>Chennai</x:v>
      </x:c>
      <x:c r="E291" s="192" t="str">
        <x:f>'Raw Data'!E291</x:f>
        <x:v>Healthy</x:v>
      </x:c>
      <x:c r="F291" s="192" t="str">
        <x:f>'Raw Data'!F291</x:f>
        <x:v>Budget</x:v>
      </x:c>
      <x:c r="G291" s="192" t="str">
        <x:f>'Raw Data'!G291</x:f>
        <x:v>Budget Customer 13</x:v>
      </x:c>
      <x:c r="H291" s="192" t="n">
        <x:f>'Raw Data'!H291</x:f>
        <x:v>131</x:v>
      </x:c>
      <x:c r="I291" s="195" t="n">
        <x:f>'Raw Data'!I291</x:f>
        <x:v>325</x:v>
      </x:c>
      <x:c r="J291" s="196" t="n">
        <x:f>'Raw Data'!J291</x:f>
        <x:v>0.1</x:v>
      </x:c>
      <x:c r="K291" s="195" t="n">
        <x:f>'Raw Data'!K291</x:f>
        <x:v>42575</x:v>
      </x:c>
      <x:c r="L291" s="195" t="n">
        <x:f>'Raw Data'!L291</x:f>
        <x:v>38317.5</x:v>
      </x:c>
      <x:c r="M291" s="195" t="n">
        <x:f>'Raw Data'!M291</x:f>
        <x:v>26822.25</x:v>
      </x:c>
      <x:c r="N291" s="195" t="n">
        <x:f>'Raw Data'!N291</x:f>
        <x:v>11495.25</x:v>
      </x:c>
      <x:c r="O291" s="195" t="n">
        <x:f>'Raw Data'!O291</x:f>
        <x:v>4981.275000000001</x:v>
      </x:c>
      <x:c r="P291" s="195" t="n">
        <x:f>'Raw Data'!P291</x:f>
        <x:v>6513.974999999999</x:v>
      </x:c>
      <x:c r="Q291" s="195" t="n">
        <x:f>'Raw Data'!Q291</x:f>
        <x:v>40906.730991081844</x:v>
      </x:c>
      <x:c r="R291" s="196" t="n">
        <x:f t="shared" si="12">IFERROR(N291/L291,0)</x:f>
        <x:v>0.3</x:v>
      </x:c>
      <x:c r="S291" s="196" t="n">
        <x:f t="shared" si="13">IFERROR(P291/L291,0)</x:f>
        <x:v>0.16999999999999998</x:v>
      </x:c>
      <x:c r="T291" s="196" t="n">
        <x:f t="shared" si="14">IFERROR(L291/Q291,0)</x:f>
        <x:v>0.9367040355376642</x:v>
      </x:c>
    </x:row>
    <x:row r="292">
      <x:c r="A292" s="192" t="str">
        <x:f>'Raw Data'!A292</x:f>
        <x:v>ZOM-0288</x:v>
      </x:c>
      <x:c r="B292" s="193" t="n">
        <x:f>'Raw Data'!B292</x:f>
        <x:v>45945</x:v>
      </x:c>
      <x:c r="C292" s="236" t="str">
        <x:f>'Raw Data'!C292</x:f>
        <x:v>Metro</x:v>
      </x:c>
      <x:c r="D292" s="192" t="str">
        <x:f>'Raw Data'!D292</x:f>
        <x:v>Hyderabad</x:v>
      </x:c>
      <x:c r="E292" s="192" t="str">
        <x:f>'Raw Data'!E292</x:f>
        <x:v>Chinese</x:v>
      </x:c>
      <x:c r="F292" s="192" t="str">
        <x:f>'Raw Data'!F292</x:f>
        <x:v>New User</x:v>
      </x:c>
      <x:c r="G292" s="192" t="str">
        <x:f>'Raw Data'!G292</x:f>
        <x:v>New User Customer 22</x:v>
      </x:c>
      <x:c r="H292" s="192" t="n">
        <x:f>'Raw Data'!H292</x:f>
        <x:v>83</x:v>
      </x:c>
      <x:c r="I292" s="195" t="n">
        <x:f>'Raw Data'!I292</x:f>
        <x:v>378</x:v>
      </x:c>
      <x:c r="J292" s="196" t="n">
        <x:f>'Raw Data'!J292</x:f>
        <x:v>0.08</x:v>
      </x:c>
      <x:c r="K292" s="195" t="n">
        <x:f>'Raw Data'!K292</x:f>
        <x:v>31374</x:v>
      </x:c>
      <x:c r="L292" s="195" t="n">
        <x:f>'Raw Data'!L292</x:f>
        <x:v>28864.08</x:v>
      </x:c>
      <x:c r="M292" s="195" t="n">
        <x:f>'Raw Data'!M292</x:f>
        <x:v>21359.4192</x:v>
      </x:c>
      <x:c r="N292" s="195" t="n">
        <x:f>'Raw Data'!N292</x:f>
        <x:v>7504.6608000000015</x:v>
      </x:c>
      <x:c r="O292" s="195" t="n">
        <x:f>'Raw Data'!O292</x:f>
        <x:v>3752.3304000000003</x:v>
      </x:c>
      <x:c r="P292" s="195" t="n">
        <x:f>'Raw Data'!P292</x:f>
        <x:v>3752.330400000001</x:v>
      </x:c>
      <x:c r="Q292" s="195" t="n">
        <x:f>'Raw Data'!Q292</x:f>
        <x:v>30519.68548722572</x:v>
      </x:c>
      <x:c r="R292" s="196" t="n">
        <x:f t="shared" si="12">IFERROR(N292/L292,0)</x:f>
        <x:v>0.26</x:v>
      </x:c>
      <x:c r="S292" s="196" t="n">
        <x:f t="shared" si="13">IFERROR(P292/L292,0)</x:f>
        <x:v>0.13000000000000003</x:v>
      </x:c>
      <x:c r="T292" s="196" t="n">
        <x:f t="shared" si="14">IFERROR(L292/Q292,0)</x:f>
        <x:v>0.9457528653786853</x:v>
      </x:c>
    </x:row>
    <x:row r="293">
      <x:c r="A293" s="192" t="str">
        <x:f>'Raw Data'!A293</x:f>
        <x:v>ZOM-0289</x:v>
      </x:c>
      <x:c r="B293" s="193" t="n">
        <x:f>'Raw Data'!B293</x:f>
        <x:v>45946</x:v>
      </x:c>
      <x:c r="C293" s="236" t="str">
        <x:f>'Raw Data'!C293</x:f>
        <x:v>Metro</x:v>
      </x:c>
      <x:c r="D293" s="192" t="str">
        <x:f>'Raw Data'!D293</x:f>
        <x:v>Mumbai</x:v>
      </x:c>
      <x:c r="E293" s="192" t="str">
        <x:f>'Raw Data'!E293</x:f>
        <x:v>Healthy</x:v>
      </x:c>
      <x:c r="F293" s="192" t="str">
        <x:f>'Raw Data'!F293</x:f>
        <x:v>Repeat User</x:v>
      </x:c>
      <x:c r="G293" s="192" t="str">
        <x:f>'Raw Data'!G293</x:f>
        <x:v>Repeat User Customer 10</x:v>
      </x:c>
      <x:c r="H293" s="192" t="n">
        <x:f>'Raw Data'!H293</x:f>
        <x:v>110</x:v>
      </x:c>
      <x:c r="I293" s="195" t="n">
        <x:f>'Raw Data'!I293</x:f>
        <x:v>474</x:v>
      </x:c>
      <x:c r="J293" s="196" t="n">
        <x:f>'Raw Data'!J293</x:f>
        <x:v>0.05</x:v>
      </x:c>
      <x:c r="K293" s="195" t="n">
        <x:f>'Raw Data'!K293</x:f>
        <x:v>52140</x:v>
      </x:c>
      <x:c r="L293" s="195" t="n">
        <x:f>'Raw Data'!L293</x:f>
        <x:v>49533</x:v>
      </x:c>
      <x:c r="M293" s="195" t="n">
        <x:f>'Raw Data'!M293</x:f>
        <x:v>34673.1</x:v>
      </x:c>
      <x:c r="N293" s="195" t="n">
        <x:f>'Raw Data'!N293</x:f>
        <x:v>14859.900000000001</x:v>
      </x:c>
      <x:c r="O293" s="195" t="n">
        <x:f>'Raw Data'!O293</x:f>
        <x:v>6439.29</x:v>
      </x:c>
      <x:c r="P293" s="195" t="n">
        <x:f>'Raw Data'!P293</x:f>
        <x:v>8420.61</x:v>
      </x:c>
      <x:c r="Q293" s="195" t="n">
        <x:f>'Raw Data'!Q293</x:f>
        <x:v>53721.68686740327</x:v>
      </x:c>
      <x:c r="R293" s="196" t="n">
        <x:f t="shared" si="12">IFERROR(N293/L293,0)</x:f>
        <x:v>0.30000000000000004</x:v>
      </x:c>
      <x:c r="S293" s="196" t="n">
        <x:f t="shared" si="13">IFERROR(P293/L293,0)</x:f>
        <x:v>0.17</x:v>
      </x:c>
      <x:c r="T293" s="196" t="n">
        <x:f t="shared" si="14">IFERROR(L293/Q293,0)</x:f>
        <x:v>0.9220298707718942</x:v>
      </x:c>
    </x:row>
    <x:row r="294">
      <x:c r="A294" s="192" t="str">
        <x:f>'Raw Data'!A294</x:f>
        <x:v>ZOM-0290</x:v>
      </x:c>
      <x:c r="B294" s="193" t="n">
        <x:f>'Raw Data'!B294</x:f>
        <x:v>45947</x:v>
      </x:c>
      <x:c r="C294" s="236" t="str">
        <x:f>'Raw Data'!C294</x:f>
        <x:v>Central</x:v>
      </x:c>
      <x:c r="D294" s="192" t="str">
        <x:f>'Raw Data'!D294</x:f>
        <x:v>Varanasi</x:v>
      </x:c>
      <x:c r="E294" s="192" t="str">
        <x:f>'Raw Data'!E294</x:f>
        <x:v>Healthy</x:v>
      </x:c>
      <x:c r="F294" s="192" t="str">
        <x:f>'Raw Data'!F294</x:f>
        <x:v>Student</x:v>
      </x:c>
      <x:c r="G294" s="192" t="str">
        <x:f>'Raw Data'!G294</x:f>
        <x:v>Student Customer 11</x:v>
      </x:c>
      <x:c r="H294" s="192" t="n">
        <x:f>'Raw Data'!H294</x:f>
        <x:v>82</x:v>
      </x:c>
      <x:c r="I294" s="195" t="n">
        <x:f>'Raw Data'!I294</x:f>
        <x:v>438</x:v>
      </x:c>
      <x:c r="J294" s="196" t="n">
        <x:f>'Raw Data'!J294</x:f>
        <x:v>0.13</x:v>
      </x:c>
      <x:c r="K294" s="195" t="n">
        <x:f>'Raw Data'!K294</x:f>
        <x:v>35916</x:v>
      </x:c>
      <x:c r="L294" s="195" t="n">
        <x:f>'Raw Data'!L294</x:f>
        <x:v>31246.92</x:v>
      </x:c>
      <x:c r="M294" s="195" t="n">
        <x:f>'Raw Data'!M294</x:f>
        <x:v>21872.843999999997</x:v>
      </x:c>
      <x:c r="N294" s="195" t="n">
        <x:f>'Raw Data'!N294</x:f>
        <x:v>9374.076000000001</x:v>
      </x:c>
      <x:c r="O294" s="195" t="n">
        <x:f>'Raw Data'!O294</x:f>
        <x:v>4062.0996</x:v>
      </x:c>
      <x:c r="P294" s="195" t="n">
        <x:f>'Raw Data'!P294</x:f>
        <x:v>5311.976400000001</x:v>
      </x:c>
      <x:c r="Q294" s="195" t="n">
        <x:f>'Raw Data'!Q294</x:f>
        <x:v>32456.562782254074</x:v>
      </x:c>
      <x:c r="R294" s="196" t="n">
        <x:f t="shared" si="12">IFERROR(N294/L294,0)</x:f>
        <x:v>0.30000000000000004</x:v>
      </x:c>
      <x:c r="S294" s="196" t="n">
        <x:f t="shared" si="13">IFERROR(P294/L294,0)</x:f>
        <x:v>0.17000000000000004</x:v>
      </x:c>
      <x:c r="T294" s="196" t="n">
        <x:f t="shared" si="14">IFERROR(L294/Q294,0)</x:f>
        <x:v>0.9627304101679104</x:v>
      </x:c>
    </x:row>
    <x:row r="295">
      <x:c r="A295" s="192" t="str">
        <x:f>'Raw Data'!A295</x:f>
        <x:v>ZOM-0291</x:v>
      </x:c>
      <x:c r="B295" s="193" t="n">
        <x:f>'Raw Data'!B295</x:f>
        <x:v>45948</x:v>
      </x:c>
      <x:c r="C295" s="236" t="str">
        <x:f>'Raw Data'!C295</x:f>
        <x:v>Central</x:v>
      </x:c>
      <x:c r="D295" s="192" t="str">
        <x:f>'Raw Data'!D295</x:f>
        <x:v>Kanpur</x:v>
      </x:c>
      <x:c r="E295" s="192" t="str">
        <x:f>'Raw Data'!E295</x:f>
        <x:v>Healthy</x:v>
      </x:c>
      <x:c r="F295" s="192" t="str">
        <x:f>'Raw Data'!F295</x:f>
        <x:v>Student</x:v>
      </x:c>
      <x:c r="G295" s="192" t="str">
        <x:f>'Raw Data'!G295</x:f>
        <x:v>Student Customer 20</x:v>
      </x:c>
      <x:c r="H295" s="192" t="n">
        <x:f>'Raw Data'!H295</x:f>
        <x:v>77</x:v>
      </x:c>
      <x:c r="I295" s="195" t="n">
        <x:f>'Raw Data'!I295</x:f>
        <x:v>349</x:v>
      </x:c>
      <x:c r="J295" s="196" t="n">
        <x:f>'Raw Data'!J295</x:f>
        <x:v>0.12</x:v>
      </x:c>
      <x:c r="K295" s="195" t="n">
        <x:f>'Raw Data'!K295</x:f>
        <x:v>26873</x:v>
      </x:c>
      <x:c r="L295" s="195" t="n">
        <x:f>'Raw Data'!L295</x:f>
        <x:v>23648.24</x:v>
      </x:c>
      <x:c r="M295" s="195" t="n">
        <x:f>'Raw Data'!M295</x:f>
        <x:v>16553.768</x:v>
      </x:c>
      <x:c r="N295" s="195" t="n">
        <x:f>'Raw Data'!N295</x:f>
        <x:v>7094.472000000002</x:v>
      </x:c>
      <x:c r="O295" s="195" t="n">
        <x:f>'Raw Data'!O295</x:f>
        <x:v>3074.2712</x:v>
      </x:c>
      <x:c r="P295" s="195" t="n">
        <x:f>'Raw Data'!P295</x:f>
        <x:v>4020.2008000000014</x:v>
      </x:c>
      <x:c r="Q295" s="195" t="n">
        <x:f>'Raw Data'!Q295</x:f>
        <x:v>24145.850891647995</x:v>
      </x:c>
      <x:c r="R295" s="196" t="n">
        <x:f t="shared" si="12">IFERROR(N295/L295,0)</x:f>
        <x:v>0.30000000000000004</x:v>
      </x:c>
      <x:c r="S295" s="196" t="n">
        <x:f t="shared" si="13">IFERROR(P295/L295,0)</x:f>
        <x:v>0.17000000000000004</x:v>
      </x:c>
      <x:c r="T295" s="196" t="n">
        <x:f t="shared" si="14">IFERROR(L295/Q295,0)</x:f>
        <x:v>0.979391453468301</x:v>
      </x:c>
    </x:row>
    <x:row r="296">
      <x:c r="A296" s="192" t="str">
        <x:f>'Raw Data'!A296</x:f>
        <x:v>ZOM-0292</x:v>
      </x:c>
      <x:c r="B296" s="193" t="n">
        <x:f>'Raw Data'!B296</x:f>
        <x:v>45949</x:v>
      </x:c>
      <x:c r="C296" s="236" t="str">
        <x:f>'Raw Data'!C296</x:f>
        <x:v>Central</x:v>
      </x:c>
      <x:c r="D296" s="192" t="str">
        <x:f>'Raw Data'!D296</x:f>
        <x:v>Raipur</x:v>
      </x:c>
      <x:c r="E296" s="192" t="str">
        <x:f>'Raw Data'!E296</x:f>
        <x:v>North Indian</x:v>
      </x:c>
      <x:c r="F296" s="192" t="str">
        <x:f>'Raw Data'!F296</x:f>
        <x:v>Budget</x:v>
      </x:c>
      <x:c r="G296" s="192" t="str">
        <x:f>'Raw Data'!G296</x:f>
        <x:v>Budget Customer 40</x:v>
      </x:c>
      <x:c r="H296" s="192" t="n">
        <x:f>'Raw Data'!H296</x:f>
        <x:v>105</x:v>
      </x:c>
      <x:c r="I296" s="195" t="n">
        <x:f>'Raw Data'!I296</x:f>
        <x:v>514</x:v>
      </x:c>
      <x:c r="J296" s="196" t="n">
        <x:f>'Raw Data'!J296</x:f>
        <x:v>0.08</x:v>
      </x:c>
      <x:c r="K296" s="195" t="n">
        <x:f>'Raw Data'!K296</x:f>
        <x:v>53970</x:v>
      </x:c>
      <x:c r="L296" s="195" t="n">
        <x:f>'Raw Data'!L296</x:f>
        <x:v>49652.4</x:v>
      </x:c>
      <x:c r="M296" s="195" t="n">
        <x:f>'Raw Data'!M296</x:f>
        <x:v>36246.252</x:v>
      </x:c>
      <x:c r="N296" s="195" t="n">
        <x:f>'Raw Data'!N296</x:f>
        <x:v>13406.148000000001</x:v>
      </x:c>
      <x:c r="O296" s="195" t="n">
        <x:f>'Raw Data'!O296</x:f>
        <x:v>6454.812000000001</x:v>
      </x:c>
      <x:c r="P296" s="195" t="n">
        <x:f>'Raw Data'!P296</x:f>
        <x:v>6951.336</x:v>
      </x:c>
      <x:c r="Q296" s="195" t="n">
        <x:f>'Raw Data'!Q296</x:f>
        <x:v>54471.50460013307</x:v>
      </x:c>
      <x:c r="R296" s="196" t="n">
        <x:f t="shared" si="12">IFERROR(N296/L296,0)</x:f>
        <x:v>0.27</x:v>
      </x:c>
      <x:c r="S296" s="196" t="n">
        <x:f t="shared" si="13">IFERROR(P296/L296,0)</x:f>
        <x:v>0.14</x:v>
      </x:c>
      <x:c r="T296" s="196" t="n">
        <x:f t="shared" si="14">IFERROR(L296/Q296,0)</x:f>
        <x:v>0.911529805620216</x:v>
      </x:c>
    </x:row>
    <x:row r="297">
      <x:c r="A297" s="192" t="str">
        <x:f>'Raw Data'!A297</x:f>
        <x:v>ZOM-0293</x:v>
      </x:c>
      <x:c r="B297" s="193" t="n">
        <x:f>'Raw Data'!B297</x:f>
        <x:v>45950</x:v>
      </x:c>
      <x:c r="C297" s="236" t="str">
        <x:f>'Raw Data'!C297</x:f>
        <x:v>South</x:v>
      </x:c>
      <x:c r="D297" s="192" t="str">
        <x:f>'Raw Data'!D297</x:f>
        <x:v>Coimbatore</x:v>
      </x:c>
      <x:c r="E297" s="192" t="str">
        <x:f>'Raw Data'!E297</x:f>
        <x:v>North Indian</x:v>
      </x:c>
      <x:c r="F297" s="192" t="str">
        <x:f>'Raw Data'!F297</x:f>
        <x:v>Gold User</x:v>
      </x:c>
      <x:c r="G297" s="192" t="str">
        <x:f>'Raw Data'!G297</x:f>
        <x:v>Gold User Customer 06</x:v>
      </x:c>
      <x:c r="H297" s="192" t="n">
        <x:f>'Raw Data'!H297</x:f>
        <x:v>139</x:v>
      </x:c>
      <x:c r="I297" s="195" t="n">
        <x:f>'Raw Data'!I297</x:f>
        <x:v>593</x:v>
      </x:c>
      <x:c r="J297" s="196" t="n">
        <x:f>'Raw Data'!J297</x:f>
        <x:v>0.03</x:v>
      </x:c>
      <x:c r="K297" s="195" t="n">
        <x:f>'Raw Data'!K297</x:f>
        <x:v>82427</x:v>
      </x:c>
      <x:c r="L297" s="195" t="n">
        <x:f>'Raw Data'!L297</x:f>
        <x:v>79954.19</x:v>
      </x:c>
      <x:c r="M297" s="195" t="n">
        <x:f>'Raw Data'!M297</x:f>
        <x:v>58366.5587</x:v>
      </x:c>
      <x:c r="N297" s="195" t="n">
        <x:f>'Raw Data'!N297</x:f>
        <x:v>21587.6313</x:v>
      </x:c>
      <x:c r="O297" s="195" t="n">
        <x:f>'Raw Data'!O297</x:f>
        <x:v>10394.0447</x:v>
      </x:c>
      <x:c r="P297" s="195" t="n">
        <x:f>'Raw Data'!P297</x:f>
        <x:v>11193.5866</x:v>
      </x:c>
      <x:c r="Q297" s="195" t="n">
        <x:f>'Raw Data'!Q297</x:f>
        <x:v>86058.08574839418</x:v>
      </x:c>
      <x:c r="R297" s="196" t="n">
        <x:f t="shared" si="12">IFERROR(N297/L297,0)</x:f>
        <x:v>0.27</x:v>
      </x:c>
      <x:c r="S297" s="196" t="n">
        <x:f t="shared" si="13">IFERROR(P297/L297,0)</x:f>
        <x:v>0.14</x:v>
      </x:c>
      <x:c r="T297" s="196" t="n">
        <x:f t="shared" si="14">IFERROR(L297/Q297,0)</x:f>
        <x:v>0.9290723736728239</x:v>
      </x:c>
    </x:row>
    <x:row r="298">
      <x:c r="A298" s="192" t="str">
        <x:f>'Raw Data'!A298</x:f>
        <x:v>ZOM-0294</x:v>
      </x:c>
      <x:c r="B298" s="193" t="n">
        <x:f>'Raw Data'!B298</x:f>
        <x:v>45951</x:v>
      </x:c>
      <x:c r="C298" s="236" t="str">
        <x:f>'Raw Data'!C298</x:f>
        <x:v>Central</x:v>
      </x:c>
      <x:c r="D298" s="192" t="str">
        <x:f>'Raw Data'!D298</x:f>
        <x:v>Raipur</x:v>
      </x:c>
      <x:c r="E298" s="192" t="str">
        <x:f>'Raw Data'!E298</x:f>
        <x:v>South Indian</x:v>
      </x:c>
      <x:c r="F298" s="192" t="str">
        <x:f>'Raw Data'!F298</x:f>
        <x:v>Repeat User</x:v>
      </x:c>
      <x:c r="G298" s="192" t="str">
        <x:f>'Raw Data'!G298</x:f>
        <x:v>Repeat User Customer 25</x:v>
      </x:c>
      <x:c r="H298" s="192" t="n">
        <x:f>'Raw Data'!H298</x:f>
        <x:v>92</x:v>
      </x:c>
      <x:c r="I298" s="195" t="n">
        <x:f>'Raw Data'!I298</x:f>
        <x:v>403</x:v>
      </x:c>
      <x:c r="J298" s="196" t="n">
        <x:f>'Raw Data'!J298</x:f>
        <x:v>0.05</x:v>
      </x:c>
      <x:c r="K298" s="195" t="n">
        <x:f>'Raw Data'!K298</x:f>
        <x:v>37076</x:v>
      </x:c>
      <x:c r="L298" s="195" t="n">
        <x:f>'Raw Data'!L298</x:f>
        <x:v>35222.2</x:v>
      </x:c>
      <x:c r="M298" s="195" t="n">
        <x:f>'Raw Data'!M298</x:f>
        <x:v>26064.427999999996</x:v>
      </x:c>
      <x:c r="N298" s="195" t="n">
        <x:f>'Raw Data'!N298</x:f>
        <x:v>9157.772</x:v>
      </x:c>
      <x:c r="O298" s="195" t="n">
        <x:f>'Raw Data'!O298</x:f>
        <x:v>4578.8859999999995</x:v>
      </x:c>
      <x:c r="P298" s="195" t="n">
        <x:f>'Raw Data'!P298</x:f>
        <x:v>4578.886000000001</x:v>
      </x:c>
      <x:c r="Q298" s="195" t="n">
        <x:f>'Raw Data'!Q298</x:f>
        <x:v>35227.61502226114</x:v>
      </x:c>
      <x:c r="R298" s="196" t="n">
        <x:f t="shared" si="12">IFERROR(N298/L298,0)</x:f>
        <x:v>0.26000000000000006</x:v>
      </x:c>
      <x:c r="S298" s="196" t="n">
        <x:f t="shared" si="13">IFERROR(P298/L298,0)</x:f>
        <x:v>0.13000000000000006</x:v>
      </x:c>
      <x:c r="T298" s="196" t="n">
        <x:f t="shared" si="14">IFERROR(L298/Q298,0)</x:f>
        <x:v>0.999846284732653</x:v>
      </x:c>
    </x:row>
    <x:row r="299">
      <x:c r="A299" s="192" t="str">
        <x:f>'Raw Data'!A299</x:f>
        <x:v>ZOM-0295</x:v>
      </x:c>
      <x:c r="B299" s="193" t="n">
        <x:f>'Raw Data'!B299</x:f>
        <x:v>45952</x:v>
      </x:c>
      <x:c r="C299" s="236" t="str">
        <x:f>'Raw Data'!C299</x:f>
        <x:v>West</x:v>
      </x:c>
      <x:c r="D299" s="192" t="str">
        <x:f>'Raw Data'!D299</x:f>
        <x:v>Surat</x:v>
      </x:c>
      <x:c r="E299" s="192" t="str">
        <x:f>'Raw Data'!E299</x:f>
        <x:v>Snacks</x:v>
      </x:c>
      <x:c r="F299" s="192" t="str">
        <x:f>'Raw Data'!F299</x:f>
        <x:v>Student</x:v>
      </x:c>
      <x:c r="G299" s="192" t="str">
        <x:f>'Raw Data'!G299</x:f>
        <x:v>Student Customer 56</x:v>
      </x:c>
      <x:c r="H299" s="192" t="n">
        <x:f>'Raw Data'!H299</x:f>
        <x:v>119</x:v>
      </x:c>
      <x:c r="I299" s="195" t="n">
        <x:f>'Raw Data'!I299</x:f>
        <x:v>288</x:v>
      </x:c>
      <x:c r="J299" s="196" t="n">
        <x:f>'Raw Data'!J299</x:f>
        <x:v>0.12</x:v>
      </x:c>
      <x:c r="K299" s="195" t="n">
        <x:f>'Raw Data'!K299</x:f>
        <x:v>34272</x:v>
      </x:c>
      <x:c r="L299" s="195" t="n">
        <x:f>'Raw Data'!L299</x:f>
        <x:v>30159.36</x:v>
      </x:c>
      <x:c r="M299" s="195" t="n">
        <x:f>'Raw Data'!M299</x:f>
        <x:v>22317.9264</x:v>
      </x:c>
      <x:c r="N299" s="195" t="n">
        <x:f>'Raw Data'!N299</x:f>
        <x:v>7841.4336</x:v>
      </x:c>
      <x:c r="O299" s="195" t="n">
        <x:f>'Raw Data'!O299</x:f>
        <x:v>3920.7168</x:v>
      </x:c>
      <x:c r="P299" s="195" t="n">
        <x:f>'Raw Data'!P299</x:f>
        <x:v>3920.7168</x:v>
      </x:c>
      <x:c r="Q299" s="195" t="n">
        <x:f>'Raw Data'!Q299</x:f>
        <x:v>31894.69067026298</x:v>
      </x:c>
      <x:c r="R299" s="196" t="n">
        <x:f t="shared" si="12">IFERROR(N299/L299,0)</x:f>
        <x:v>0.26</x:v>
      </x:c>
      <x:c r="S299" s="196" t="n">
        <x:f t="shared" si="13">IFERROR(P299/L299,0)</x:f>
        <x:v>0.13</x:v>
      </x:c>
      <x:c r="T299" s="196" t="n">
        <x:f t="shared" si="14">IFERROR(L299/Q299,0)</x:f>
        <x:v>0.9455918639185639</x:v>
      </x:c>
    </x:row>
    <x:row r="300">
      <x:c r="A300" s="192" t="str">
        <x:f>'Raw Data'!A300</x:f>
        <x:v>ZOM-0296</x:v>
      </x:c>
      <x:c r="B300" s="193" t="n">
        <x:f>'Raw Data'!B300</x:f>
        <x:v>45953</x:v>
      </x:c>
      <x:c r="C300" s="236" t="str">
        <x:f>'Raw Data'!C300</x:f>
        <x:v>West</x:v>
      </x:c>
      <x:c r="D300" s="192" t="str">
        <x:f>'Raw Data'!D300</x:f>
        <x:v>Pune</x:v>
      </x:c>
      <x:c r="E300" s="192" t="str">
        <x:f>'Raw Data'!E300</x:f>
        <x:v>Biryani</x:v>
      </x:c>
      <x:c r="F300" s="192" t="str">
        <x:f>'Raw Data'!F300</x:f>
        <x:v>New User</x:v>
      </x:c>
      <x:c r="G300" s="192" t="str">
        <x:f>'Raw Data'!G300</x:f>
        <x:v>New User Customer 57</x:v>
      </x:c>
      <x:c r="H300" s="192" t="n">
        <x:f>'Raw Data'!H300</x:f>
        <x:v>81</x:v>
      </x:c>
      <x:c r="I300" s="195" t="n">
        <x:f>'Raw Data'!I300</x:f>
        <x:v>436</x:v>
      </x:c>
      <x:c r="J300" s="196" t="n">
        <x:f>'Raw Data'!J300</x:f>
        <x:v>0.08</x:v>
      </x:c>
      <x:c r="K300" s="195" t="n">
        <x:f>'Raw Data'!K300</x:f>
        <x:v>35316</x:v>
      </x:c>
      <x:c r="L300" s="195" t="n">
        <x:f>'Raw Data'!L300</x:f>
        <x:v>32490.72</x:v>
      </x:c>
      <x:c r="M300" s="195" t="n">
        <x:f>'Raw Data'!M300</x:f>
        <x:v>24043.1328</x:v>
      </x:c>
      <x:c r="N300" s="195" t="n">
        <x:f>'Raw Data'!N300</x:f>
        <x:v>8447.587200000002</x:v>
      </x:c>
      <x:c r="O300" s="195" t="n">
        <x:f>'Raw Data'!O300</x:f>
        <x:v>4223.7936</x:v>
      </x:c>
      <x:c r="P300" s="195" t="n">
        <x:f>'Raw Data'!P300</x:f>
        <x:v>4223.793600000002</x:v>
      </x:c>
      <x:c r="Q300" s="195" t="n">
        <x:f>'Raw Data'!Q300</x:f>
        <x:v>33823.39134687177</x:v>
      </x:c>
      <x:c r="R300" s="196" t="n">
        <x:f t="shared" si="12">IFERROR(N300/L300,0)</x:f>
        <x:v>0.26000000000000006</x:v>
      </x:c>
      <x:c r="S300" s="196" t="n">
        <x:f t="shared" si="13">IFERROR(P300/L300,0)</x:f>
        <x:v>0.13000000000000006</x:v>
      </x:c>
      <x:c r="T300" s="196" t="n">
        <x:f t="shared" si="14">IFERROR(L300/Q300,0)</x:f>
        <x:v>0.9605991210873942</x:v>
      </x:c>
    </x:row>
    <x:row r="301">
      <x:c r="A301" s="192" t="str">
        <x:f>'Raw Data'!A301</x:f>
        <x:v>ZOM-0297</x:v>
      </x:c>
      <x:c r="B301" s="193" t="n">
        <x:f>'Raw Data'!B301</x:f>
        <x:v>45954</x:v>
      </x:c>
      <x:c r="C301" s="236" t="str">
        <x:f>'Raw Data'!C301</x:f>
        <x:v>South</x:v>
      </x:c>
      <x:c r="D301" s="192" t="str">
        <x:f>'Raw Data'!D301</x:f>
        <x:v>Bengaluru</x:v>
      </x:c>
      <x:c r="E301" s="192" t="str">
        <x:f>'Raw Data'!E301</x:f>
        <x:v>Chinese</x:v>
      </x:c>
      <x:c r="F301" s="192" t="str">
        <x:f>'Raw Data'!F301</x:f>
        <x:v>Student</x:v>
      </x:c>
      <x:c r="G301" s="192" t="str">
        <x:f>'Raw Data'!G301</x:f>
        <x:v>Student Customer 39</x:v>
      </x:c>
      <x:c r="H301" s="192" t="n">
        <x:f>'Raw Data'!H301</x:f>
        <x:v>70</x:v>
      </x:c>
      <x:c r="I301" s="195" t="n">
        <x:f>'Raw Data'!I301</x:f>
        <x:v>425</x:v>
      </x:c>
      <x:c r="J301" s="196" t="n">
        <x:f>'Raw Data'!J301</x:f>
        <x:v>0.13</x:v>
      </x:c>
      <x:c r="K301" s="195" t="n">
        <x:f>'Raw Data'!K301</x:f>
        <x:v>29750</x:v>
      </x:c>
      <x:c r="L301" s="195" t="n">
        <x:f>'Raw Data'!L301</x:f>
        <x:v>25882.5</x:v>
      </x:c>
      <x:c r="M301" s="195" t="n">
        <x:f>'Raw Data'!M301</x:f>
        <x:v>19153.05</x:v>
      </x:c>
      <x:c r="N301" s="195" t="n">
        <x:f>'Raw Data'!N301</x:f>
        <x:v>6729.450000000001</x:v>
      </x:c>
      <x:c r="O301" s="195" t="n">
        <x:f>'Raw Data'!O301</x:f>
        <x:v>3364.725</x:v>
      </x:c>
      <x:c r="P301" s="195" t="n">
        <x:f>'Raw Data'!P301</x:f>
        <x:v>3364.725000000001</x:v>
      </x:c>
      <x:c r="Q301" s="195" t="n">
        <x:f>'Raw Data'!Q301</x:f>
        <x:v>27912.625490856655</x:v>
      </x:c>
      <x:c r="R301" s="196" t="n">
        <x:f t="shared" si="12">IFERROR(N301/L301,0)</x:f>
        <x:v>0.26</x:v>
      </x:c>
      <x:c r="S301" s="196" t="n">
        <x:f t="shared" si="13">IFERROR(P301/L301,0)</x:f>
        <x:v>0.13000000000000003</x:v>
      </x:c>
      <x:c r="T301" s="196" t="n">
        <x:f t="shared" si="14">IFERROR(L301/Q301,0)</x:f>
        <x:v>0.9272685583976447</x:v>
      </x:c>
    </x:row>
    <x:row r="302">
      <x:c r="A302" s="192" t="str">
        <x:f>'Raw Data'!A302</x:f>
        <x:v>ZOM-0298</x:v>
      </x:c>
      <x:c r="B302" s="193" t="n">
        <x:f>'Raw Data'!B302</x:f>
        <x:v>45955</x:v>
      </x:c>
      <x:c r="C302" s="236" t="str">
        <x:f>'Raw Data'!C302</x:f>
        <x:v>Metro</x:v>
      </x:c>
      <x:c r="D302" s="192" t="str">
        <x:f>'Raw Data'!D302</x:f>
        <x:v>Mumbai</x:v>
      </x:c>
      <x:c r="E302" s="192" t="str">
        <x:f>'Raw Data'!E302</x:f>
        <x:v>North Indian</x:v>
      </x:c>
      <x:c r="F302" s="192" t="str">
        <x:f>'Raw Data'!F302</x:f>
        <x:v>Repeat User</x:v>
      </x:c>
      <x:c r="G302" s="192" t="str">
        <x:f>'Raw Data'!G302</x:f>
        <x:v>Repeat User Customer 26</x:v>
      </x:c>
      <x:c r="H302" s="192" t="n">
        <x:f>'Raw Data'!H302</x:f>
        <x:v>112</x:v>
      </x:c>
      <x:c r="I302" s="195" t="n">
        <x:f>'Raw Data'!I302</x:f>
        <x:v>518</x:v>
      </x:c>
      <x:c r="J302" s="196" t="n">
        <x:f>'Raw Data'!J302</x:f>
        <x:v>0.05</x:v>
      </x:c>
      <x:c r="K302" s="195" t="n">
        <x:f>'Raw Data'!K302</x:f>
        <x:v>58016</x:v>
      </x:c>
      <x:c r="L302" s="195" t="n">
        <x:f>'Raw Data'!L302</x:f>
        <x:v>55115.2</x:v>
      </x:c>
      <x:c r="M302" s="195" t="n">
        <x:f>'Raw Data'!M302</x:f>
        <x:v>40234.096</x:v>
      </x:c>
      <x:c r="N302" s="195" t="n">
        <x:f>'Raw Data'!N302</x:f>
        <x:v>14881.104</x:v>
      </x:c>
      <x:c r="O302" s="195" t="n">
        <x:f>'Raw Data'!O302</x:f>
        <x:v>7164.976</x:v>
      </x:c>
      <x:c r="P302" s="195" t="n">
        <x:f>'Raw Data'!P302</x:f>
        <x:v>7716.128</x:v>
      </x:c>
      <x:c r="Q302" s="195" t="n">
        <x:f>'Raw Data'!Q302</x:f>
        <x:v>55749.57102295226</x:v>
      </x:c>
      <x:c r="R302" s="196" t="n">
        <x:f t="shared" si="12">IFERROR(N302/L302,0)</x:f>
        <x:v>0.27</x:v>
      </x:c>
      <x:c r="S302" s="196" t="n">
        <x:f t="shared" si="13">IFERROR(P302/L302,0)</x:f>
        <x:v>0.14</x:v>
      </x:c>
      <x:c r="T302" s="196" t="n">
        <x:f t="shared" si="14">IFERROR(L302/Q302,0)</x:f>
        <x:v>0.9886210600133392</x:v>
      </x:c>
    </x:row>
    <x:row r="303">
      <x:c r="A303" s="192" t="str">
        <x:f>'Raw Data'!A303</x:f>
        <x:v>ZOM-0299</x:v>
      </x:c>
      <x:c r="B303" s="193" t="n">
        <x:f>'Raw Data'!B303</x:f>
        <x:v>45956</x:v>
      </x:c>
      <x:c r="C303" s="236" t="str">
        <x:f>'Raw Data'!C303</x:f>
        <x:v>West</x:v>
      </x:c>
      <x:c r="D303" s="192" t="str">
        <x:f>'Raw Data'!D303</x:f>
        <x:v>Surat</x:v>
      </x:c>
      <x:c r="E303" s="192" t="str">
        <x:f>'Raw Data'!E303</x:f>
        <x:v>Biryani</x:v>
      </x:c>
      <x:c r="F303" s="192" t="str">
        <x:f>'Raw Data'!F303</x:f>
        <x:v>Repeat User</x:v>
      </x:c>
      <x:c r="G303" s="192" t="str">
        <x:f>'Raw Data'!G303</x:f>
        <x:v>Repeat User Customer 19</x:v>
      </x:c>
      <x:c r="H303" s="192" t="n">
        <x:f>'Raw Data'!H303</x:f>
        <x:v>143</x:v>
      </x:c>
      <x:c r="I303" s="195" t="n">
        <x:f>'Raw Data'!I303</x:f>
        <x:v>395</x:v>
      </x:c>
      <x:c r="J303" s="196" t="n">
        <x:f>'Raw Data'!J303</x:f>
        <x:v>0.060000000000000005</x:v>
      </x:c>
      <x:c r="K303" s="195" t="n">
        <x:f>'Raw Data'!K303</x:f>
        <x:v>56485</x:v>
      </x:c>
      <x:c r="L303" s="195" t="n">
        <x:f>'Raw Data'!L303</x:f>
        <x:v>53095.899999999994</x:v>
      </x:c>
      <x:c r="M303" s="195" t="n">
        <x:f>'Raw Data'!M303</x:f>
        <x:v>39290.96599999999</x:v>
      </x:c>
      <x:c r="N303" s="195" t="n">
        <x:f>'Raw Data'!N303</x:f>
        <x:v>13804.934000000001</x:v>
      </x:c>
      <x:c r="O303" s="195" t="n">
        <x:f>'Raw Data'!O303</x:f>
        <x:v>6902.467</x:v>
      </x:c>
      <x:c r="P303" s="195" t="n">
        <x:f>'Raw Data'!P303</x:f>
        <x:v>6902.4670000000015</x:v>
      </x:c>
      <x:c r="Q303" s="195" t="n">
        <x:f>'Raw Data'!Q303</x:f>
        <x:v>54184.35867602453</x:v>
      </x:c>
      <x:c r="R303" s="196" t="n">
        <x:f t="shared" si="12">IFERROR(N303/L303,0)</x:f>
        <x:v>0.26000000000000006</x:v>
      </x:c>
      <x:c r="S303" s="196" t="n">
        <x:f t="shared" si="13">IFERROR(P303/L303,0)</x:f>
        <x:v>0.13000000000000003</x:v>
      </x:c>
      <x:c r="T303" s="196" t="n">
        <x:f t="shared" si="14">IFERROR(L303/Q303,0)</x:f>
        <x:v>0.9799119394854782</x:v>
      </x:c>
    </x:row>
    <x:row r="304">
      <x:c r="A304" s="192" t="str">
        <x:f>'Raw Data'!A304</x:f>
        <x:v>ZOM-0300</x:v>
      </x:c>
      <x:c r="B304" s="193" t="n">
        <x:f>'Raw Data'!B304</x:f>
        <x:v>45957</x:v>
      </x:c>
      <x:c r="C304" s="236" t="str">
        <x:f>'Raw Data'!C304</x:f>
        <x:v>Metro</x:v>
      </x:c>
      <x:c r="D304" s="192" t="str">
        <x:f>'Raw Data'!D304</x:f>
        <x:v>Hyderabad</x:v>
      </x:c>
      <x:c r="E304" s="192" t="str">
        <x:f>'Raw Data'!E304</x:f>
        <x:v>Healthy</x:v>
      </x:c>
      <x:c r="F304" s="192" t="str">
        <x:f>'Raw Data'!F304</x:f>
        <x:v>Repeat User</x:v>
      </x:c>
      <x:c r="G304" s="192" t="str">
        <x:f>'Raw Data'!G304</x:f>
        <x:v>Repeat User Customer 57</x:v>
      </x:c>
      <x:c r="H304" s="192" t="n">
        <x:f>'Raw Data'!H304</x:f>
        <x:v>144</x:v>
      </x:c>
      <x:c r="I304" s="195" t="n">
        <x:f>'Raw Data'!I304</x:f>
        <x:v>399</x:v>
      </x:c>
      <x:c r="J304" s="196" t="n">
        <x:f>'Raw Data'!J304</x:f>
        <x:v>0.05</x:v>
      </x:c>
      <x:c r="K304" s="195" t="n">
        <x:f>'Raw Data'!K304</x:f>
        <x:v>57456</x:v>
      </x:c>
      <x:c r="L304" s="195" t="n">
        <x:f>'Raw Data'!L304</x:f>
        <x:v>54583.2</x:v>
      </x:c>
      <x:c r="M304" s="195" t="n">
        <x:f>'Raw Data'!M304</x:f>
        <x:v>38208.24</x:v>
      </x:c>
      <x:c r="N304" s="195" t="n">
        <x:f>'Raw Data'!N304</x:f>
        <x:v>16374.96</x:v>
      </x:c>
      <x:c r="O304" s="195" t="n">
        <x:f>'Raw Data'!O304</x:f>
        <x:v>7095.816</x:v>
      </x:c>
      <x:c r="P304" s="195" t="n">
        <x:f>'Raw Data'!P304</x:f>
        <x:v>9279.144</x:v>
      </x:c>
      <x:c r="Q304" s="195" t="n">
        <x:f>'Raw Data'!Q304</x:f>
        <x:v>55794.169036450876</x:v>
      </x:c>
      <x:c r="R304" s="196" t="n">
        <x:f t="shared" si="12">IFERROR(N304/L304,0)</x:f>
        <x:v>0.3</x:v>
      </x:c>
      <x:c r="S304" s="196" t="n">
        <x:f t="shared" si="13">IFERROR(P304/L304,0)</x:f>
        <x:v>0.17</x:v>
      </x:c>
      <x:c r="T304" s="196" t="n">
        <x:f t="shared" si="14">IFERROR(L304/Q304,0)</x:f>
        <x:v>0.978295777903606</x:v>
      </x:c>
    </x:row>
    <x:row r="305">
      <x:c r="A305" s="192" t="str">
        <x:f>'Raw Data'!A305</x:f>
        <x:v>ZOM-0301</x:v>
      </x:c>
      <x:c r="B305" s="193" t="n">
        <x:f>'Raw Data'!B305</x:f>
        <x:v>45958</x:v>
      </x:c>
      <x:c r="C305" s="236" t="str">
        <x:f>'Raw Data'!C305</x:f>
        <x:v>South</x:v>
      </x:c>
      <x:c r="D305" s="192" t="str">
        <x:f>'Raw Data'!D305</x:f>
        <x:v>Hyderabad</x:v>
      </x:c>
      <x:c r="E305" s="192" t="str">
        <x:f>'Raw Data'!E305</x:f>
        <x:v>South Indian</x:v>
      </x:c>
      <x:c r="F305" s="192" t="str">
        <x:f>'Raw Data'!F305</x:f>
        <x:v>Repeat User</x:v>
      </x:c>
      <x:c r="G305" s="192" t="str">
        <x:f>'Raw Data'!G305</x:f>
        <x:v>Repeat User Customer 07</x:v>
      </x:c>
      <x:c r="H305" s="192" t="n">
        <x:f>'Raw Data'!H305</x:f>
        <x:v>144</x:v>
      </x:c>
      <x:c r="I305" s="195" t="n">
        <x:f>'Raw Data'!I305</x:f>
        <x:v>336</x:v>
      </x:c>
      <x:c r="J305" s="196" t="n">
        <x:f>'Raw Data'!J305</x:f>
        <x:v>0.05</x:v>
      </x:c>
      <x:c r="K305" s="195" t="n">
        <x:f>'Raw Data'!K305</x:f>
        <x:v>48384</x:v>
      </x:c>
      <x:c r="L305" s="195" t="n">
        <x:f>'Raw Data'!L305</x:f>
        <x:v>45964.799999999996</x:v>
      </x:c>
      <x:c r="M305" s="195" t="n">
        <x:f>'Raw Data'!M305</x:f>
        <x:v>34013.952</x:v>
      </x:c>
      <x:c r="N305" s="195" t="n">
        <x:f>'Raw Data'!N305</x:f>
        <x:v>11950.847999999998</x:v>
      </x:c>
      <x:c r="O305" s="195" t="n">
        <x:f>'Raw Data'!O305</x:f>
        <x:v>5975.424</x:v>
      </x:c>
      <x:c r="P305" s="195" t="n">
        <x:f>'Raw Data'!P305</x:f>
        <x:v>5975.423999999998</x:v>
      </x:c>
      <x:c r="Q305" s="195" t="n">
        <x:f>'Raw Data'!Q305</x:f>
        <x:v>49806.37775647979</x:v>
      </x:c>
      <x:c r="R305" s="196" t="n">
        <x:f t="shared" si="12">IFERROR(N305/L305,0)</x:f>
        <x:v>0.26</x:v>
      </x:c>
      <x:c r="S305" s="196" t="n">
        <x:f t="shared" si="13">IFERROR(P305/L305,0)</x:f>
        <x:v>0.12999999999999998</x:v>
      </x:c>
      <x:c r="T305" s="196" t="n">
        <x:f t="shared" si="14">IFERROR(L305/Q305,0)</x:f>
        <x:v>0.9228697622769805</x:v>
      </x:c>
    </x:row>
    <x:row r="306">
      <x:c r="A306" s="192" t="str">
        <x:f>'Raw Data'!A306</x:f>
        <x:v>ZOM-0302</x:v>
      </x:c>
      <x:c r="B306" s="193" t="n">
        <x:f>'Raw Data'!B306</x:f>
        <x:v>45959</x:v>
      </x:c>
      <x:c r="C306" s="236" t="str">
        <x:f>'Raw Data'!C306</x:f>
        <x:v>North</x:v>
      </x:c>
      <x:c r="D306" s="192" t="str">
        <x:f>'Raw Data'!D306</x:f>
        <x:v>Gurugram</x:v>
      </x:c>
      <x:c r="E306" s="192" t="str">
        <x:f>'Raw Data'!E306</x:f>
        <x:v>Healthy</x:v>
      </x:c>
      <x:c r="F306" s="192" t="str">
        <x:f>'Raw Data'!F306</x:f>
        <x:v>Repeat User</x:v>
      </x:c>
      <x:c r="G306" s="192" t="str">
        <x:f>'Raw Data'!G306</x:f>
        <x:v>Repeat User Customer 35</x:v>
      </x:c>
      <x:c r="H306" s="192" t="n">
        <x:f>'Raw Data'!H306</x:f>
        <x:v>152</x:v>
      </x:c>
      <x:c r="I306" s="195" t="n">
        <x:f>'Raw Data'!I306</x:f>
        <x:v>358</x:v>
      </x:c>
      <x:c r="J306" s="196" t="n">
        <x:f>'Raw Data'!J306</x:f>
        <x:v>0.030000000000000002</x:v>
      </x:c>
      <x:c r="K306" s="195" t="n">
        <x:f>'Raw Data'!K306</x:f>
        <x:v>54416</x:v>
      </x:c>
      <x:c r="L306" s="195" t="n">
        <x:f>'Raw Data'!L306</x:f>
        <x:v>52783.52</x:v>
      </x:c>
      <x:c r="M306" s="195" t="n">
        <x:f>'Raw Data'!M306</x:f>
        <x:v>36948.46399999999</x:v>
      </x:c>
      <x:c r="N306" s="195" t="n">
        <x:f>'Raw Data'!N306</x:f>
        <x:v>15835.056000000004</x:v>
      </x:c>
      <x:c r="O306" s="195" t="n">
        <x:f>'Raw Data'!O306</x:f>
        <x:v>6861.857599999999</x:v>
      </x:c>
      <x:c r="P306" s="195" t="n">
        <x:f>'Raw Data'!P306</x:f>
        <x:v>8973.198400000005</x:v>
      </x:c>
      <x:c r="Q306" s="195" t="n">
        <x:f>'Raw Data'!Q306</x:f>
        <x:v>55435.14493999329</x:v>
      </x:c>
      <x:c r="R306" s="196" t="n">
        <x:f t="shared" si="12">IFERROR(N306/L306,0)</x:f>
        <x:v>0.3000000000000001</x:v>
      </x:c>
      <x:c r="S306" s="196" t="n">
        <x:f t="shared" si="13">IFERROR(P306/L306,0)</x:f>
        <x:v>0.1700000000000001</x:v>
      </x:c>
      <x:c r="T306" s="196" t="n">
        <x:f t="shared" si="14">IFERROR(L306/Q306,0)</x:f>
        <x:v>0.9521670784325794</x:v>
      </x:c>
    </x:row>
    <x:row r="307">
      <x:c r="A307" s="192" t="str">
        <x:f>'Raw Data'!A307</x:f>
        <x:v>ZOM-0303</x:v>
      </x:c>
      <x:c r="B307" s="193" t="n">
        <x:f>'Raw Data'!B307</x:f>
        <x:v>45960</x:v>
      </x:c>
      <x:c r="C307" s="236" t="str">
        <x:f>'Raw Data'!C307</x:f>
        <x:v>East</x:v>
      </x:c>
      <x:c r="D307" s="192" t="str">
        <x:f>'Raw Data'!D307</x:f>
        <x:v>Ranchi</x:v>
      </x:c>
      <x:c r="E307" s="192" t="str">
        <x:f>'Raw Data'!E307</x:f>
        <x:v>Chinese</x:v>
      </x:c>
      <x:c r="F307" s="192" t="str">
        <x:f>'Raw Data'!F307</x:f>
        <x:v>Repeat User</x:v>
      </x:c>
      <x:c r="G307" s="192" t="str">
        <x:f>'Raw Data'!G307</x:f>
        <x:v>Repeat User Customer 44</x:v>
      </x:c>
      <x:c r="H307" s="192" t="n">
        <x:f>'Raw Data'!H307</x:f>
        <x:v>102</x:v>
      </x:c>
      <x:c r="I307" s="195" t="n">
        <x:f>'Raw Data'!I307</x:f>
        <x:v>376</x:v>
      </x:c>
      <x:c r="J307" s="196" t="n">
        <x:f>'Raw Data'!J307</x:f>
        <x:v>0.030000000000000002</x:v>
      </x:c>
      <x:c r="K307" s="195" t="n">
        <x:f>'Raw Data'!K307</x:f>
        <x:v>38352</x:v>
      </x:c>
      <x:c r="L307" s="195" t="n">
        <x:f>'Raw Data'!L307</x:f>
        <x:v>37201.44</x:v>
      </x:c>
      <x:c r="M307" s="195" t="n">
        <x:f>'Raw Data'!M307</x:f>
        <x:v>27529.0656</x:v>
      </x:c>
      <x:c r="N307" s="195" t="n">
        <x:f>'Raw Data'!N307</x:f>
        <x:v>9672.3744</x:v>
      </x:c>
      <x:c r="O307" s="195" t="n">
        <x:f>'Raw Data'!O307</x:f>
        <x:v>4836.1872</x:v>
      </x:c>
      <x:c r="P307" s="195" t="n">
        <x:f>'Raw Data'!P307</x:f>
        <x:v>4836.1872</x:v>
      </x:c>
      <x:c r="Q307" s="195" t="n">
        <x:f>'Raw Data'!Q307</x:f>
        <x:v>40774.78862093933</x:v>
      </x:c>
      <x:c r="R307" s="196" t="n">
        <x:f t="shared" si="12">IFERROR(N307/L307,0)</x:f>
        <x:v>0.26</x:v>
      </x:c>
      <x:c r="S307" s="196" t="n">
        <x:f t="shared" si="13">IFERROR(P307/L307,0)</x:f>
        <x:v>0.13</x:v>
      </x:c>
      <x:c r="T307" s="196" t="n">
        <x:f t="shared" si="14">IFERROR(L307/Q307,0)</x:f>
        <x:v>0.9123637732580596</x:v>
      </x:c>
    </x:row>
    <x:row r="308">
      <x:c r="A308" s="192" t="str">
        <x:f>'Raw Data'!A308</x:f>
        <x:v>ZOM-0304</x:v>
      </x:c>
      <x:c r="B308" s="193" t="n">
        <x:f>'Raw Data'!B308</x:f>
        <x:v>45961</x:v>
      </x:c>
      <x:c r="C308" s="236" t="str">
        <x:f>'Raw Data'!C308</x:f>
        <x:v>Metro</x:v>
      </x:c>
      <x:c r="D308" s="192" t="str">
        <x:f>'Raw Data'!D308</x:f>
        <x:v>Mumbai</x:v>
      </x:c>
      <x:c r="E308" s="192" t="str">
        <x:f>'Raw Data'!E308</x:f>
        <x:v>North Indian</x:v>
      </x:c>
      <x:c r="F308" s="192" t="str">
        <x:f>'Raw Data'!F308</x:f>
        <x:v>Budget</x:v>
      </x:c>
      <x:c r="G308" s="192" t="str">
        <x:f>'Raw Data'!G308</x:f>
        <x:v>Budget Customer 28</x:v>
      </x:c>
      <x:c r="H308" s="192" t="n">
        <x:f>'Raw Data'!H308</x:f>
        <x:v>89</x:v>
      </x:c>
      <x:c r="I308" s="195" t="n">
        <x:f>'Raw Data'!I308</x:f>
        <x:v>639</x:v>
      </x:c>
      <x:c r="J308" s="196" t="n">
        <x:f>'Raw Data'!J308</x:f>
        <x:v>0.1</x:v>
      </x:c>
      <x:c r="K308" s="195" t="n">
        <x:f>'Raw Data'!K308</x:f>
        <x:v>56871</x:v>
      </x:c>
      <x:c r="L308" s="195" t="n">
        <x:f>'Raw Data'!L308</x:f>
        <x:v>51183.9</x:v>
      </x:c>
      <x:c r="M308" s="195" t="n">
        <x:f>'Raw Data'!M308</x:f>
        <x:v>37364.247</x:v>
      </x:c>
      <x:c r="N308" s="195" t="n">
        <x:f>'Raw Data'!N308</x:f>
        <x:v>13819.652999999998</x:v>
      </x:c>
      <x:c r="O308" s="195" t="n">
        <x:f>'Raw Data'!O308</x:f>
        <x:v>6653.907</x:v>
      </x:c>
      <x:c r="P308" s="195" t="n">
        <x:f>'Raw Data'!P308</x:f>
        <x:v>7165.745999999998</x:v>
      </x:c>
      <x:c r="Q308" s="195" t="n">
        <x:f>'Raw Data'!Q308</x:f>
        <x:v>51958.942984285815</x:v>
      </x:c>
      <x:c r="R308" s="196" t="n">
        <x:f t="shared" si="12">IFERROR(N308/L308,0)</x:f>
        <x:v>0.26999999999999996</x:v>
      </x:c>
      <x:c r="S308" s="196" t="n">
        <x:f t="shared" si="13">IFERROR(P308/L308,0)</x:f>
        <x:v>0.13999999999999996</x:v>
      </x:c>
      <x:c r="T308" s="196" t="n">
        <x:f t="shared" si="14">IFERROR(L308/Q308,0)</x:f>
        <x:v>0.9850835498227858</x:v>
      </x:c>
    </x:row>
    <x:row r="309">
      <x:c r="A309" s="192" t="str">
        <x:f>'Raw Data'!A309</x:f>
        <x:v>ZOM-0305</x:v>
      </x:c>
      <x:c r="B309" s="193" t="n">
        <x:f>'Raw Data'!B309</x:f>
        <x:v>45962</x:v>
      </x:c>
      <x:c r="C309" s="236" t="str">
        <x:f>'Raw Data'!C309</x:f>
        <x:v>North</x:v>
      </x:c>
      <x:c r="D309" s="192" t="str">
        <x:f>'Raw Data'!D309</x:f>
        <x:v>Jaipur</x:v>
      </x:c>
      <x:c r="E309" s="192" t="str">
        <x:f>'Raw Data'!E309</x:f>
        <x:v>Biryani</x:v>
      </x:c>
      <x:c r="F309" s="192" t="str">
        <x:f>'Raw Data'!F309</x:f>
        <x:v>Budget</x:v>
      </x:c>
      <x:c r="G309" s="192" t="str">
        <x:f>'Raw Data'!G309</x:f>
        <x:v>Budget Customer 06</x:v>
      </x:c>
      <x:c r="H309" s="192" t="n">
        <x:f>'Raw Data'!H309</x:f>
        <x:v>81</x:v>
      </x:c>
      <x:c r="I309" s="195" t="n">
        <x:f>'Raw Data'!I309</x:f>
        <x:v>542</x:v>
      </x:c>
      <x:c r="J309" s="196" t="n">
        <x:f>'Raw Data'!J309</x:f>
        <x:v>0.1</x:v>
      </x:c>
      <x:c r="K309" s="195" t="n">
        <x:f>'Raw Data'!K309</x:f>
        <x:v>43902</x:v>
      </x:c>
      <x:c r="L309" s="195" t="n">
        <x:f>'Raw Data'!L309</x:f>
        <x:v>39511.8</x:v>
      </x:c>
      <x:c r="M309" s="195" t="n">
        <x:f>'Raw Data'!M309</x:f>
        <x:v>29238.732000000004</x:v>
      </x:c>
      <x:c r="N309" s="195" t="n">
        <x:f>'Raw Data'!N309</x:f>
        <x:v>10273.068</x:v>
      </x:c>
      <x:c r="O309" s="195" t="n">
        <x:f>'Raw Data'!O309</x:f>
        <x:v>5136.534000000001</x:v>
      </x:c>
      <x:c r="P309" s="195" t="n">
        <x:f>'Raw Data'!P309</x:f>
        <x:v>5136.533999999999</x:v>
      </x:c>
      <x:c r="Q309" s="195" t="n">
        <x:f>'Raw Data'!Q309</x:f>
        <x:v>43339.752193180175</x:v>
      </x:c>
      <x:c r="R309" s="196" t="n">
        <x:f t="shared" si="12">IFERROR(N309/L309,0)</x:f>
        <x:v>0.25999999999999995</x:v>
      </x:c>
      <x:c r="S309" s="196" t="n">
        <x:f t="shared" si="13">IFERROR(P309/L309,0)</x:f>
        <x:v>0.12999999999999995</x:v>
      </x:c>
      <x:c r="T309" s="196" t="n">
        <x:f t="shared" si="14">IFERROR(L309/Q309,0)</x:f>
        <x:v>0.9116757249529791</x:v>
      </x:c>
    </x:row>
    <x:row r="310">
      <x:c r="A310" s="192" t="str">
        <x:f>'Raw Data'!A310</x:f>
        <x:v>ZOM-0306</x:v>
      </x:c>
      <x:c r="B310" s="193" t="n">
        <x:f>'Raw Data'!B310</x:f>
        <x:v>45963</x:v>
      </x:c>
      <x:c r="C310" s="236" t="str">
        <x:f>'Raw Data'!C310</x:f>
        <x:v>South</x:v>
      </x:c>
      <x:c r="D310" s="192" t="str">
        <x:f>'Raw Data'!D310</x:f>
        <x:v>Kochi</x:v>
      </x:c>
      <x:c r="E310" s="192" t="str">
        <x:f>'Raw Data'!E310</x:f>
        <x:v>Chinese</x:v>
      </x:c>
      <x:c r="F310" s="192" t="str">
        <x:f>'Raw Data'!F310</x:f>
        <x:v>Student</x:v>
      </x:c>
      <x:c r="G310" s="192" t="str">
        <x:f>'Raw Data'!G310</x:f>
        <x:v>Student Customer 27</x:v>
      </x:c>
      <x:c r="H310" s="192" t="n">
        <x:f>'Raw Data'!H310</x:f>
        <x:v>126</x:v>
      </x:c>
      <x:c r="I310" s="195" t="n">
        <x:f>'Raw Data'!I310</x:f>
        <x:v>447</x:v>
      </x:c>
      <x:c r="J310" s="196" t="n">
        <x:f>'Raw Data'!J310</x:f>
        <x:v>0.09999999999999999</x:v>
      </x:c>
      <x:c r="K310" s="195" t="n">
        <x:f>'Raw Data'!K310</x:f>
        <x:v>56322</x:v>
      </x:c>
      <x:c r="L310" s="195" t="n">
        <x:f>'Raw Data'!L310</x:f>
        <x:v>50689.8</x:v>
      </x:c>
      <x:c r="M310" s="195" t="n">
        <x:f>'Raw Data'!M310</x:f>
        <x:v>37510.452000000005</x:v>
      </x:c>
      <x:c r="N310" s="195" t="n">
        <x:f>'Raw Data'!N310</x:f>
        <x:v>13179.347999999998</x:v>
      </x:c>
      <x:c r="O310" s="195" t="n">
        <x:f>'Raw Data'!O310</x:f>
        <x:v>6589.674000000001</x:v>
      </x:c>
      <x:c r="P310" s="195" t="n">
        <x:f>'Raw Data'!P310</x:f>
        <x:v>6589.673999999997</x:v>
      </x:c>
      <x:c r="Q310" s="195" t="n">
        <x:f>'Raw Data'!Q310</x:f>
        <x:v>53868.427655675856</x:v>
      </x:c>
      <x:c r="R310" s="196" t="n">
        <x:f t="shared" si="12">IFERROR(N310/L310,0)</x:f>
        <x:v>0.25999999999999995</x:v>
      </x:c>
      <x:c r="S310" s="196" t="n">
        <x:f t="shared" si="13">IFERROR(P310/L310,0)</x:f>
        <x:v>0.12999999999999995</x:v>
      </x:c>
      <x:c r="T310" s="196" t="n">
        <x:f t="shared" si="14">IFERROR(L310/Q310,0)</x:f>
        <x:v>0.9409927522668107</x:v>
      </x:c>
    </x:row>
    <x:row r="311">
      <x:c r="A311" s="192" t="str">
        <x:f>'Raw Data'!A311</x:f>
        <x:v>ZOM-0307</x:v>
      </x:c>
      <x:c r="B311" s="193" t="n">
        <x:f>'Raw Data'!B311</x:f>
        <x:v>45964</x:v>
      </x:c>
      <x:c r="C311" s="236" t="str">
        <x:f>'Raw Data'!C311</x:f>
        <x:v>North</x:v>
      </x:c>
      <x:c r="D311" s="192" t="str">
        <x:f>'Raw Data'!D311</x:f>
        <x:v>Noida</x:v>
      </x:c>
      <x:c r="E311" s="192" t="str">
        <x:f>'Raw Data'!E311</x:f>
        <x:v>Biryani</x:v>
      </x:c>
      <x:c r="F311" s="192" t="str">
        <x:f>'Raw Data'!F311</x:f>
        <x:v>Corporate</x:v>
      </x:c>
      <x:c r="G311" s="192" t="str">
        <x:f>'Raw Data'!G311</x:f>
        <x:v>Corporate Customer 57</x:v>
      </x:c>
      <x:c r="H311" s="192" t="n">
        <x:f>'Raw Data'!H311</x:f>
        <x:v>107</x:v>
      </x:c>
      <x:c r="I311" s="195" t="n">
        <x:f>'Raw Data'!I311</x:f>
        <x:v>560</x:v>
      </x:c>
      <x:c r="J311" s="196" t="n">
        <x:f>'Raw Data'!J311</x:f>
        <x:v>0</x:v>
      </x:c>
      <x:c r="K311" s="195" t="n">
        <x:f>'Raw Data'!K311</x:f>
        <x:v>59920</x:v>
      </x:c>
      <x:c r="L311" s="195" t="n">
        <x:f>'Raw Data'!L311</x:f>
        <x:v>59920</x:v>
      </x:c>
      <x:c r="M311" s="195" t="n">
        <x:f>'Raw Data'!M311</x:f>
        <x:v>44340.8</x:v>
      </x:c>
      <x:c r="N311" s="195" t="n">
        <x:f>'Raw Data'!N311</x:f>
        <x:v>15579.199999999997</x:v>
      </x:c>
      <x:c r="O311" s="195" t="n">
        <x:f>'Raw Data'!O311</x:f>
        <x:v>7789.6</x:v>
      </x:c>
      <x:c r="P311" s="195" t="n">
        <x:f>'Raw Data'!P311</x:f>
        <x:v>7789.599999999997</x:v>
      </x:c>
      <x:c r="Q311" s="195" t="n">
        <x:f>'Raw Data'!Q311</x:f>
        <x:v>66248.52834576785</x:v>
      </x:c>
      <x:c r="R311" s="196" t="n">
        <x:f t="shared" si="12">IFERROR(N311/L311,0)</x:f>
        <x:v>0.25999999999999995</x:v>
      </x:c>
      <x:c r="S311" s="196" t="n">
        <x:f t="shared" si="13">IFERROR(P311/L311,0)</x:f>
        <x:v>0.12999999999999995</x:v>
      </x:c>
      <x:c r="T311" s="196" t="n">
        <x:f t="shared" si="14">IFERROR(L311/Q311,0)</x:f>
        <x:v>0.9044729218325024</x:v>
      </x:c>
    </x:row>
    <x:row r="312">
      <x:c r="A312" s="192" t="str">
        <x:f>'Raw Data'!A312</x:f>
        <x:v>ZOM-0308</x:v>
      </x:c>
      <x:c r="B312" s="193" t="n">
        <x:f>'Raw Data'!B312</x:f>
        <x:v>45965</x:v>
      </x:c>
      <x:c r="C312" s="236" t="str">
        <x:f>'Raw Data'!C312</x:f>
        <x:v>West</x:v>
      </x:c>
      <x:c r="D312" s="192" t="str">
        <x:f>'Raw Data'!D312</x:f>
        <x:v>Surat</x:v>
      </x:c>
      <x:c r="E312" s="192" t="str">
        <x:f>'Raw Data'!E312</x:f>
        <x:v>Burgers</x:v>
      </x:c>
      <x:c r="F312" s="192" t="str">
        <x:f>'Raw Data'!F312</x:f>
        <x:v>Corporate</x:v>
      </x:c>
      <x:c r="G312" s="192" t="str">
        <x:f>'Raw Data'!G312</x:f>
        <x:v>Corporate Customer 26</x:v>
      </x:c>
      <x:c r="H312" s="192" t="n">
        <x:f>'Raw Data'!H312</x:f>
        <x:v>186</x:v>
      </x:c>
      <x:c r="I312" s="195" t="n">
        <x:f>'Raw Data'!I312</x:f>
        <x:v>343</x:v>
      </x:c>
      <x:c r="J312" s="196" t="n">
        <x:f>'Raw Data'!J312</x:f>
        <x:v>0.02</x:v>
      </x:c>
      <x:c r="K312" s="195" t="n">
        <x:f>'Raw Data'!K312</x:f>
        <x:v>63798</x:v>
      </x:c>
      <x:c r="L312" s="195" t="n">
        <x:f>'Raw Data'!L312</x:f>
        <x:v>62522.04</x:v>
      </x:c>
      <x:c r="M312" s="195" t="n">
        <x:f>'Raw Data'!M312</x:f>
        <x:v>46266.3096</x:v>
      </x:c>
      <x:c r="N312" s="195" t="n">
        <x:f>'Raw Data'!N312</x:f>
        <x:v>16255.7304</x:v>
      </x:c>
      <x:c r="O312" s="195" t="n">
        <x:f>'Raw Data'!O312</x:f>
        <x:v>8127.8652</x:v>
      </x:c>
      <x:c r="P312" s="195" t="n">
        <x:f>'Raw Data'!P312</x:f>
        <x:v>8127.8652</x:v>
      </x:c>
      <x:c r="Q312" s="195" t="n">
        <x:f>'Raw Data'!Q312</x:f>
        <x:v>67629.93708796024</x:v>
      </x:c>
      <x:c r="R312" s="196" t="n">
        <x:f t="shared" si="12">IFERROR(N312/L312,0)</x:f>
        <x:v>0.26</x:v>
      </x:c>
      <x:c r="S312" s="196" t="n">
        <x:f t="shared" si="13">IFERROR(P312/L312,0)</x:f>
        <x:v>0.13</x:v>
      </x:c>
      <x:c r="T312" s="196" t="n">
        <x:f t="shared" si="14">IFERROR(L312/Q312,0)</x:f>
        <x:v>0.9244728398709458</x:v>
      </x:c>
    </x:row>
    <x:row r="313">
      <x:c r="A313" s="192" t="str">
        <x:f>'Raw Data'!A313</x:f>
        <x:v>ZOM-0309</x:v>
      </x:c>
      <x:c r="B313" s="193" t="n">
        <x:f>'Raw Data'!B313</x:f>
        <x:v>45966</x:v>
      </x:c>
      <x:c r="C313" s="236" t="str">
        <x:f>'Raw Data'!C313</x:f>
        <x:v>North</x:v>
      </x:c>
      <x:c r="D313" s="192" t="str">
        <x:f>'Raw Data'!D313</x:f>
        <x:v>Gurugram</x:v>
      </x:c>
      <x:c r="E313" s="192" t="str">
        <x:f>'Raw Data'!E313</x:f>
        <x:v>Burgers</x:v>
      </x:c>
      <x:c r="F313" s="192" t="str">
        <x:f>'Raw Data'!F313</x:f>
        <x:v>New User</x:v>
      </x:c>
      <x:c r="G313" s="192" t="str">
        <x:f>'Raw Data'!G313</x:f>
        <x:v>New User Customer 18</x:v>
      </x:c>
      <x:c r="H313" s="192" t="n">
        <x:f>'Raw Data'!H313</x:f>
        <x:v>139</x:v>
      </x:c>
      <x:c r="I313" s="195" t="n">
        <x:f>'Raw Data'!I313</x:f>
        <x:v>499</x:v>
      </x:c>
      <x:c r="J313" s="196" t="n">
        <x:f>'Raw Data'!J313</x:f>
        <x:v>0.08</x:v>
      </x:c>
      <x:c r="K313" s="195" t="n">
        <x:f>'Raw Data'!K313</x:f>
        <x:v>69361</x:v>
      </x:c>
      <x:c r="L313" s="195" t="n">
        <x:f>'Raw Data'!L313</x:f>
        <x:v>63812.12</x:v>
      </x:c>
      <x:c r="M313" s="195" t="n">
        <x:f>'Raw Data'!M313</x:f>
        <x:v>47220.9688</x:v>
      </x:c>
      <x:c r="N313" s="195" t="n">
        <x:f>'Raw Data'!N313</x:f>
        <x:v>16591.1512</x:v>
      </x:c>
      <x:c r="O313" s="195" t="n">
        <x:f>'Raw Data'!O313</x:f>
        <x:v>8295.5756</x:v>
      </x:c>
      <x:c r="P313" s="195" t="n">
        <x:f>'Raw Data'!P313</x:f>
        <x:v>8295.5756</x:v>
      </x:c>
      <x:c r="Q313" s="195" t="n">
        <x:f>'Raw Data'!Q313</x:f>
        <x:v>66132.74948672293</x:v>
      </x:c>
      <x:c r="R313" s="196" t="n">
        <x:f t="shared" si="12">IFERROR(N313/L313,0)</x:f>
        <x:v>0.26</x:v>
      </x:c>
      <x:c r="S313" s="196" t="n">
        <x:f t="shared" si="13">IFERROR(P313/L313,0)</x:f>
        <x:v>0.13</x:v>
      </x:c>
      <x:c r="T313" s="196" t="n">
        <x:f t="shared" si="14">IFERROR(L313/Q313,0)</x:f>
        <x:v>0.9649095266001481</x:v>
      </x:c>
    </x:row>
    <x:row r="314">
      <x:c r="A314" s="192" t="str">
        <x:f>'Raw Data'!A314</x:f>
        <x:v>ZOM-0310</x:v>
      </x:c>
      <x:c r="B314" s="193" t="n">
        <x:f>'Raw Data'!B314</x:f>
        <x:v>45967</x:v>
      </x:c>
      <x:c r="C314" s="236" t="str">
        <x:f>'Raw Data'!C314</x:f>
        <x:v>Metro</x:v>
      </x:c>
      <x:c r="D314" s="192" t="str">
        <x:f>'Raw Data'!D314</x:f>
        <x:v>Delhi</x:v>
      </x:c>
      <x:c r="E314" s="192" t="str">
        <x:f>'Raw Data'!E314</x:f>
        <x:v>Snacks</x:v>
      </x:c>
      <x:c r="F314" s="192" t="str">
        <x:f>'Raw Data'!F314</x:f>
        <x:v>Repeat User</x:v>
      </x:c>
      <x:c r="G314" s="192" t="str">
        <x:f>'Raw Data'!G314</x:f>
        <x:v>Repeat User Customer 39</x:v>
      </x:c>
      <x:c r="H314" s="192" t="n">
        <x:f>'Raw Data'!H314</x:f>
        <x:v>139</x:v>
      </x:c>
      <x:c r="I314" s="195" t="n">
        <x:f>'Raw Data'!I314</x:f>
        <x:v>297</x:v>
      </x:c>
      <x:c r="J314" s="196" t="n">
        <x:f>'Raw Data'!J314</x:f>
        <x:v>0.060000000000000005</x:v>
      </x:c>
      <x:c r="K314" s="195" t="n">
        <x:f>'Raw Data'!K314</x:f>
        <x:v>41283</x:v>
      </x:c>
      <x:c r="L314" s="195" t="n">
        <x:f>'Raw Data'!L314</x:f>
        <x:v>38806.02</x:v>
      </x:c>
      <x:c r="M314" s="195" t="n">
        <x:f>'Raw Data'!M314</x:f>
        <x:v>28716.454799999996</x:v>
      </x:c>
      <x:c r="N314" s="195" t="n">
        <x:f>'Raw Data'!N314</x:f>
        <x:v>10089.565200000001</x:v>
      </x:c>
      <x:c r="O314" s="195" t="n">
        <x:f>'Raw Data'!O314</x:f>
        <x:v>5044.7826</x:v>
      </x:c>
      <x:c r="P314" s="195" t="n">
        <x:f>'Raw Data'!P314</x:f>
        <x:v>5044.782600000001</x:v>
      </x:c>
      <x:c r="Q314" s="195" t="n">
        <x:f>'Raw Data'!Q314</x:f>
        <x:v>42199.8365528792</x:v>
      </x:c>
      <x:c r="R314" s="196" t="n">
        <x:f t="shared" si="12">IFERROR(N314/L314,0)</x:f>
        <x:v>0.26000000000000006</x:v>
      </x:c>
      <x:c r="S314" s="196" t="n">
        <x:f t="shared" si="13">IFERROR(P314/L314,0)</x:f>
        <x:v>0.13000000000000003</x:v>
      </x:c>
      <x:c r="T314" s="196" t="n">
        <x:f t="shared" si="14">IFERROR(L314/Q314,0)</x:f>
        <x:v>0.9195774953150228</x:v>
      </x:c>
    </x:row>
    <x:row r="315">
      <x:c r="A315" s="192" t="str">
        <x:f>'Raw Data'!A315</x:f>
        <x:v>ZOM-0311</x:v>
      </x:c>
      <x:c r="B315" s="193" t="n">
        <x:f>'Raw Data'!B315</x:f>
        <x:v>45968</x:v>
      </x:c>
      <x:c r="C315" s="236" t="str">
        <x:f>'Raw Data'!C315</x:f>
        <x:v>East</x:v>
      </x:c>
      <x:c r="D315" s="192" t="str">
        <x:f>'Raw Data'!D315</x:f>
        <x:v>Bhubaneswar</x:v>
      </x:c>
      <x:c r="E315" s="192" t="str">
        <x:f>'Raw Data'!E315</x:f>
        <x:v>South Indian</x:v>
      </x:c>
      <x:c r="F315" s="192" t="str">
        <x:f>'Raw Data'!F315</x:f>
        <x:v>Student</x:v>
      </x:c>
      <x:c r="G315" s="192" t="str">
        <x:f>'Raw Data'!G315</x:f>
        <x:v>Student Customer 20</x:v>
      </x:c>
      <x:c r="H315" s="192" t="n">
        <x:f>'Raw Data'!H315</x:f>
        <x:v>96</x:v>
      </x:c>
      <x:c r="I315" s="195" t="n">
        <x:f>'Raw Data'!I315</x:f>
        <x:v>410</x:v>
      </x:c>
      <x:c r="J315" s="196" t="n">
        <x:f>'Raw Data'!J315</x:f>
        <x:v>0.12</x:v>
      </x:c>
      <x:c r="K315" s="195" t="n">
        <x:f>'Raw Data'!K315</x:f>
        <x:v>39360</x:v>
      </x:c>
      <x:c r="L315" s="195" t="n">
        <x:f>'Raw Data'!L315</x:f>
        <x:v>34636.8</x:v>
      </x:c>
      <x:c r="M315" s="195" t="n">
        <x:f>'Raw Data'!M315</x:f>
        <x:v>25631.232000000004</x:v>
      </x:c>
      <x:c r="N315" s="195" t="n">
        <x:f>'Raw Data'!N315</x:f>
        <x:v>9005.568</x:v>
      </x:c>
      <x:c r="O315" s="195" t="n">
        <x:f>'Raw Data'!O315</x:f>
        <x:v>4502.784000000001</x:v>
      </x:c>
      <x:c r="P315" s="195" t="n">
        <x:f>'Raw Data'!P315</x:f>
        <x:v>4502.783999999999</x:v>
      </x:c>
      <x:c r="Q315" s="195" t="n">
        <x:f>'Raw Data'!Q315</x:f>
        <x:v>35297.55560414383</x:v>
      </x:c>
      <x:c r="R315" s="196" t="n">
        <x:f t="shared" si="12">IFERROR(N315/L315,0)</x:f>
        <x:v>0.25999999999999995</x:v>
      </x:c>
      <x:c r="S315" s="196" t="n">
        <x:f t="shared" si="13">IFERROR(P315/L315,0)</x:f>
        <x:v>0.12999999999999995</x:v>
      </x:c>
      <x:c r="T315" s="196" t="n">
        <x:f t="shared" si="14">IFERROR(L315/Q315,0)</x:f>
        <x:v>0.9812804146679704</x:v>
      </x:c>
    </x:row>
    <x:row r="316">
      <x:c r="A316" s="192" t="str">
        <x:f>'Raw Data'!A316</x:f>
        <x:v>ZOM-0312</x:v>
      </x:c>
      <x:c r="B316" s="193" t="n">
        <x:f>'Raw Data'!B316</x:f>
        <x:v>45969</x:v>
      </x:c>
      <x:c r="C316" s="236" t="str">
        <x:f>'Raw Data'!C316</x:f>
        <x:v>East</x:v>
      </x:c>
      <x:c r="D316" s="192" t="str">
        <x:f>'Raw Data'!D316</x:f>
        <x:v>Ranchi</x:v>
      </x:c>
      <x:c r="E316" s="192" t="str">
        <x:f>'Raw Data'!E316</x:f>
        <x:v>North Indian</x:v>
      </x:c>
      <x:c r="F316" s="192" t="str">
        <x:f>'Raw Data'!F316</x:f>
        <x:v>Student</x:v>
      </x:c>
      <x:c r="G316" s="192" t="str">
        <x:f>'Raw Data'!G316</x:f>
        <x:v>Student Customer 03</x:v>
      </x:c>
      <x:c r="H316" s="192" t="n">
        <x:f>'Raw Data'!H316</x:f>
        <x:v>112</x:v>
      </x:c>
      <x:c r="I316" s="195" t="n">
        <x:f>'Raw Data'!I316</x:f>
        <x:v>433</x:v>
      </x:c>
      <x:c r="J316" s="196" t="n">
        <x:f>'Raw Data'!J316</x:f>
        <x:v>0.12</x:v>
      </x:c>
      <x:c r="K316" s="195" t="n">
        <x:f>'Raw Data'!K316</x:f>
        <x:v>48496</x:v>
      </x:c>
      <x:c r="L316" s="195" t="n">
        <x:f>'Raw Data'!L316</x:f>
        <x:v>42676.48</x:v>
      </x:c>
      <x:c r="M316" s="195" t="n">
        <x:f>'Raw Data'!M316</x:f>
        <x:v>31153.830400000003</x:v>
      </x:c>
      <x:c r="N316" s="195" t="n">
        <x:f>'Raw Data'!N316</x:f>
        <x:v>11522.6496</x:v>
      </x:c>
      <x:c r="O316" s="195" t="n">
        <x:f>'Raw Data'!O316</x:f>
        <x:v>5547.942400000001</x:v>
      </x:c>
      <x:c r="P316" s="195" t="n">
        <x:f>'Raw Data'!P316</x:f>
        <x:v>5974.7072</x:v>
      </x:c>
      <x:c r="Q316" s="195" t="n">
        <x:f>'Raw Data'!Q316</x:f>
        <x:v>42971.600743384086</x:v>
      </x:c>
      <x:c r="R316" s="196" t="n">
        <x:f t="shared" si="12">IFERROR(N316/L316,0)</x:f>
        <x:v>0.27</x:v>
      </x:c>
      <x:c r="S316" s="196" t="n">
        <x:f t="shared" si="13">IFERROR(P316/L316,0)</x:f>
        <x:v>0.13999999999999999</x:v>
      </x:c>
      <x:c r="T316" s="196" t="n">
        <x:f t="shared" si="14">IFERROR(L316/Q316,0)</x:f>
        <x:v>0.9931321910685508</x:v>
      </x:c>
    </x:row>
    <x:row r="317">
      <x:c r="A317" s="192" t="str">
        <x:f>'Raw Data'!A317</x:f>
        <x:v>ZOM-0313</x:v>
      </x:c>
      <x:c r="B317" s="193" t="n">
        <x:f>'Raw Data'!B317</x:f>
        <x:v>45970</x:v>
      </x:c>
      <x:c r="C317" s="236" t="str">
        <x:f>'Raw Data'!C317</x:f>
        <x:v>West</x:v>
      </x:c>
      <x:c r="D317" s="192" t="str">
        <x:f>'Raw Data'!D317</x:f>
        <x:v>Ahmedabad</x:v>
      </x:c>
      <x:c r="E317" s="192" t="str">
        <x:f>'Raw Data'!E317</x:f>
        <x:v>Desserts</x:v>
      </x:c>
      <x:c r="F317" s="192" t="str">
        <x:f>'Raw Data'!F317</x:f>
        <x:v>Repeat User</x:v>
      </x:c>
      <x:c r="G317" s="192" t="str">
        <x:f>'Raw Data'!G317</x:f>
        <x:v>Repeat User Customer 29</x:v>
      </x:c>
      <x:c r="H317" s="192" t="n">
        <x:f>'Raw Data'!H317</x:f>
        <x:v>160</x:v>
      </x:c>
      <x:c r="I317" s="195" t="n">
        <x:f>'Raw Data'!I317</x:f>
        <x:v>290</x:v>
      </x:c>
      <x:c r="J317" s="196" t="n">
        <x:f>'Raw Data'!J317</x:f>
        <x:v>0.030000000000000002</x:v>
      </x:c>
      <x:c r="K317" s="195" t="n">
        <x:f>'Raw Data'!K317</x:f>
        <x:v>46400</x:v>
      </x:c>
      <x:c r="L317" s="195" t="n">
        <x:f>'Raw Data'!L317</x:f>
        <x:v>45008</x:v>
      </x:c>
      <x:c r="M317" s="195" t="n">
        <x:f>'Raw Data'!M317</x:f>
        <x:v>31055.519999999997</x:v>
      </x:c>
      <x:c r="N317" s="195" t="n">
        <x:f>'Raw Data'!N317</x:f>
        <x:v>13952.480000000003</x:v>
      </x:c>
      <x:c r="O317" s="195" t="n">
        <x:f>'Raw Data'!O317</x:f>
        <x:v>5851.04</x:v>
      </x:c>
      <x:c r="P317" s="195" t="n">
        <x:f>'Raw Data'!P317</x:f>
        <x:v>8101.440000000003</x:v>
      </x:c>
      <x:c r="Q317" s="195" t="n">
        <x:f>'Raw Data'!Q317</x:f>
        <x:v>47647.91762622897</x:v>
      </x:c>
      <x:c r="R317" s="196" t="n">
        <x:f t="shared" si="12">IFERROR(N317/L317,0)</x:f>
        <x:v>0.31000000000000005</x:v>
      </x:c>
      <x:c r="S317" s="196" t="n">
        <x:f t="shared" si="13">IFERROR(P317/L317,0)</x:f>
        <x:v>0.18000000000000008</x:v>
      </x:c>
      <x:c r="T317" s="196" t="n">
        <x:f t="shared" si="14">IFERROR(L317/Q317,0)</x:f>
        <x:v>0.9445953200528587</x:v>
      </x:c>
    </x:row>
    <x:row r="318">
      <x:c r="A318" s="192" t="str">
        <x:f>'Raw Data'!A318</x:f>
        <x:v>ZOM-0314</x:v>
      </x:c>
      <x:c r="B318" s="193" t="n">
        <x:f>'Raw Data'!B318</x:f>
        <x:v>45971</x:v>
      </x:c>
      <x:c r="C318" s="236" t="str">
        <x:f>'Raw Data'!C318</x:f>
        <x:v>North</x:v>
      </x:c>
      <x:c r="D318" s="192" t="str">
        <x:f>'Raw Data'!D318</x:f>
        <x:v>Jaipur</x:v>
      </x:c>
      <x:c r="E318" s="192" t="str">
        <x:f>'Raw Data'!E318</x:f>
        <x:v>Chinese</x:v>
      </x:c>
      <x:c r="F318" s="192" t="str">
        <x:f>'Raw Data'!F318</x:f>
        <x:v>Repeat User</x:v>
      </x:c>
      <x:c r="G318" s="192" t="str">
        <x:f>'Raw Data'!G318</x:f>
        <x:v>Repeat User Customer 25</x:v>
      </x:c>
      <x:c r="H318" s="192" t="n">
        <x:f>'Raw Data'!H318</x:f>
        <x:v>102</x:v>
      </x:c>
      <x:c r="I318" s="195" t="n">
        <x:f>'Raw Data'!I318</x:f>
        <x:v>519</x:v>
      </x:c>
      <x:c r="J318" s="196" t="n">
        <x:f>'Raw Data'!J318</x:f>
        <x:v>0.05</x:v>
      </x:c>
      <x:c r="K318" s="195" t="n">
        <x:f>'Raw Data'!K318</x:f>
        <x:v>52938</x:v>
      </x:c>
      <x:c r="L318" s="195" t="n">
        <x:f>'Raw Data'!L318</x:f>
        <x:v>50291.1</x:v>
      </x:c>
      <x:c r="M318" s="195" t="n">
        <x:f>'Raw Data'!M318</x:f>
        <x:v>37215.414</x:v>
      </x:c>
      <x:c r="N318" s="195" t="n">
        <x:f>'Raw Data'!N318</x:f>
        <x:v>13075.686000000002</x:v>
      </x:c>
      <x:c r="O318" s="195" t="n">
        <x:f>'Raw Data'!O318</x:f>
        <x:v>6537.843</x:v>
      </x:c>
      <x:c r="P318" s="195" t="n">
        <x:f>'Raw Data'!P318</x:f>
        <x:v>6537.843000000002</x:v>
      </x:c>
      <x:c r="Q318" s="195" t="n">
        <x:f>'Raw Data'!Q318</x:f>
        <x:v>52011.47430206619</x:v>
      </x:c>
      <x:c r="R318" s="196" t="n">
        <x:f t="shared" si="12">IFERROR(N318/L318,0)</x:f>
        <x:v>0.26000000000000006</x:v>
      </x:c>
      <x:c r="S318" s="196" t="n">
        <x:f t="shared" si="13">IFERROR(P318/L318,0)</x:f>
        <x:v>0.13000000000000003</x:v>
      </x:c>
      <x:c r="T318" s="196" t="n">
        <x:f t="shared" si="14">IFERROR(L318/Q318,0)</x:f>
        <x:v>0.9669231775266588</x:v>
      </x:c>
    </x:row>
    <x:row r="319">
      <x:c r="A319" s="192" t="str">
        <x:f>'Raw Data'!A319</x:f>
        <x:v>ZOM-0315</x:v>
      </x:c>
      <x:c r="B319" s="193" t="n">
        <x:f>'Raw Data'!B319</x:f>
        <x:v>45972</x:v>
      </x:c>
      <x:c r="C319" s="236" t="str">
        <x:f>'Raw Data'!C319</x:f>
        <x:v>North</x:v>
      </x:c>
      <x:c r="D319" s="192" t="str">
        <x:f>'Raw Data'!D319</x:f>
        <x:v>Lucknow</x:v>
      </x:c>
      <x:c r="E319" s="192" t="str">
        <x:f>'Raw Data'!E319</x:f>
        <x:v>Desserts</x:v>
      </x:c>
      <x:c r="F319" s="192" t="str">
        <x:f>'Raw Data'!F319</x:f>
        <x:v>Repeat User</x:v>
      </x:c>
      <x:c r="G319" s="192" t="str">
        <x:f>'Raw Data'!G319</x:f>
        <x:v>Repeat User Customer 50</x:v>
      </x:c>
      <x:c r="H319" s="192" t="n">
        <x:f>'Raw Data'!H319</x:f>
        <x:v>111</x:v>
      </x:c>
      <x:c r="I319" s="195" t="n">
        <x:f>'Raw Data'!I319</x:f>
        <x:v>308</x:v>
      </x:c>
      <x:c r="J319" s="196" t="n">
        <x:f>'Raw Data'!J319</x:f>
        <x:v>0.05</x:v>
      </x:c>
      <x:c r="K319" s="195" t="n">
        <x:f>'Raw Data'!K319</x:f>
        <x:v>34188</x:v>
      </x:c>
      <x:c r="L319" s="195" t="n">
        <x:f>'Raw Data'!L319</x:f>
        <x:v>32478.6</x:v>
      </x:c>
      <x:c r="M319" s="195" t="n">
        <x:f>'Raw Data'!M319</x:f>
        <x:v>22410.233999999997</x:v>
      </x:c>
      <x:c r="N319" s="195" t="n">
        <x:f>'Raw Data'!N319</x:f>
        <x:v>10068.366000000002</x:v>
      </x:c>
      <x:c r="O319" s="195" t="n">
        <x:f>'Raw Data'!O319</x:f>
        <x:v>4222.218</x:v>
      </x:c>
      <x:c r="P319" s="195" t="n">
        <x:f>'Raw Data'!P319</x:f>
        <x:v>5846.148000000002</x:v>
      </x:c>
      <x:c r="Q319" s="195" t="n">
        <x:f>'Raw Data'!Q319</x:f>
        <x:v>32556.752699794084</x:v>
      </x:c>
      <x:c r="R319" s="196" t="n">
        <x:f t="shared" si="12">IFERROR(N319/L319,0)</x:f>
        <x:v>0.31000000000000005</x:v>
      </x:c>
      <x:c r="S319" s="196" t="n">
        <x:f t="shared" si="13">IFERROR(P319/L319,0)</x:f>
        <x:v>0.18000000000000008</x:v>
      </x:c>
      <x:c r="T319" s="196" t="n">
        <x:f t="shared" si="14">IFERROR(L319/Q319,0)</x:f>
        <x:v>0.9975994933980445</x:v>
      </x:c>
    </x:row>
    <x:row r="320">
      <x:c r="A320" s="192" t="str">
        <x:f>'Raw Data'!A320</x:f>
        <x:v>ZOM-0316</x:v>
      </x:c>
      <x:c r="B320" s="193" t="n">
        <x:f>'Raw Data'!B320</x:f>
        <x:v>45973</x:v>
      </x:c>
      <x:c r="C320" s="236" t="str">
        <x:f>'Raw Data'!C320</x:f>
        <x:v>Metro</x:v>
      </x:c>
      <x:c r="D320" s="192" t="str">
        <x:f>'Raw Data'!D320</x:f>
        <x:v>Delhi</x:v>
      </x:c>
      <x:c r="E320" s="192" t="str">
        <x:f>'Raw Data'!E320</x:f>
        <x:v>South Indian</x:v>
      </x:c>
      <x:c r="F320" s="192" t="str">
        <x:f>'Raw Data'!F320</x:f>
        <x:v>New User</x:v>
      </x:c>
      <x:c r="G320" s="192" t="str">
        <x:f>'Raw Data'!G320</x:f>
        <x:v>New User Customer 46</x:v>
      </x:c>
      <x:c r="H320" s="192" t="n">
        <x:f>'Raw Data'!H320</x:f>
        <x:v>112</x:v>
      </x:c>
      <x:c r="I320" s="195" t="n">
        <x:f>'Raw Data'!I320</x:f>
        <x:v>388</x:v>
      </x:c>
      <x:c r="J320" s="196" t="n">
        <x:f>'Raw Data'!J320</x:f>
        <x:v>0.06</x:v>
      </x:c>
      <x:c r="K320" s="195" t="n">
        <x:f>'Raw Data'!K320</x:f>
        <x:v>43456</x:v>
      </x:c>
      <x:c r="L320" s="195" t="n">
        <x:f>'Raw Data'!L320</x:f>
        <x:v>40848.64</x:v>
      </x:c>
      <x:c r="M320" s="195" t="n">
        <x:f>'Raw Data'!M320</x:f>
        <x:v>30227.993599999998</x:v>
      </x:c>
      <x:c r="N320" s="195" t="n">
        <x:f>'Raw Data'!N320</x:f>
        <x:v>10620.646400000001</x:v>
      </x:c>
      <x:c r="O320" s="195" t="n">
        <x:f>'Raw Data'!O320</x:f>
        <x:v>5310.3232</x:v>
      </x:c>
      <x:c r="P320" s="195" t="n">
        <x:f>'Raw Data'!P320</x:f>
        <x:v>5310.323200000002</x:v>
      </x:c>
      <x:c r="Q320" s="195" t="n">
        <x:f>'Raw Data'!Q320</x:f>
        <x:v>45471.09645500962</x:v>
      </x:c>
      <x:c r="R320" s="196" t="n">
        <x:f t="shared" si="12">IFERROR(N320/L320,0)</x:f>
        <x:v>0.26000000000000006</x:v>
      </x:c>
      <x:c r="S320" s="196" t="n">
        <x:f t="shared" si="13">IFERROR(P320/L320,0)</x:f>
        <x:v>0.13000000000000003</x:v>
      </x:c>
      <x:c r="T320" s="196" t="n">
        <x:f t="shared" si="14">IFERROR(L320/Q320,0)</x:f>
        <x:v>0.8983429735506113</x:v>
      </x:c>
    </x:row>
    <x:row r="321">
      <x:c r="A321" s="192" t="str">
        <x:f>'Raw Data'!A321</x:f>
        <x:v>ZOM-0317</x:v>
      </x:c>
      <x:c r="B321" s="193" t="n">
        <x:f>'Raw Data'!B321</x:f>
        <x:v>45974</x:v>
      </x:c>
      <x:c r="C321" s="236" t="str">
        <x:f>'Raw Data'!C321</x:f>
        <x:v>Metro</x:v>
      </x:c>
      <x:c r="D321" s="192" t="str">
        <x:f>'Raw Data'!D321</x:f>
        <x:v>Bengaluru</x:v>
      </x:c>
      <x:c r="E321" s="192" t="str">
        <x:f>'Raw Data'!E321</x:f>
        <x:v>South Indian</x:v>
      </x:c>
      <x:c r="F321" s="192" t="str">
        <x:f>'Raw Data'!F321</x:f>
        <x:v>Repeat User</x:v>
      </x:c>
      <x:c r="G321" s="192" t="str">
        <x:f>'Raw Data'!G321</x:f>
        <x:v>Repeat User Customer 26</x:v>
      </x:c>
      <x:c r="H321" s="192" t="n">
        <x:f>'Raw Data'!H321</x:f>
        <x:v>147</x:v>
      </x:c>
      <x:c r="I321" s="195" t="n">
        <x:f>'Raw Data'!I321</x:f>
        <x:v>366</x:v>
      </x:c>
      <x:c r="J321" s="196" t="n">
        <x:f>'Raw Data'!J321</x:f>
        <x:v>0.05</x:v>
      </x:c>
      <x:c r="K321" s="195" t="n">
        <x:f>'Raw Data'!K321</x:f>
        <x:v>53802</x:v>
      </x:c>
      <x:c r="L321" s="195" t="n">
        <x:f>'Raw Data'!L321</x:f>
        <x:v>51111.899999999994</x:v>
      </x:c>
      <x:c r="M321" s="195" t="n">
        <x:f>'Raw Data'!M321</x:f>
        <x:v>37822.806</x:v>
      </x:c>
      <x:c r="N321" s="195" t="n">
        <x:f>'Raw Data'!N321</x:f>
        <x:v>13289.093999999997</x:v>
      </x:c>
      <x:c r="O321" s="195" t="n">
        <x:f>'Raw Data'!O321</x:f>
        <x:v>6644.547</x:v>
      </x:c>
      <x:c r="P321" s="195" t="n">
        <x:f>'Raw Data'!P321</x:f>
        <x:v>6644.546999999998</x:v>
      </x:c>
      <x:c r="Q321" s="195" t="n">
        <x:f>'Raw Data'!Q321</x:f>
        <x:v>56167.75107311117</x:v>
      </x:c>
      <x:c r="R321" s="196" t="n">
        <x:f t="shared" si="12">IFERROR(N321/L321,0)</x:f>
        <x:v>0.25999999999999995</x:v>
      </x:c>
      <x:c r="S321" s="196" t="n">
        <x:f t="shared" si="13">IFERROR(P321/L321,0)</x:f>
        <x:v>0.12999999999999998</x:v>
      </x:c>
      <x:c r="T321" s="196" t="n">
        <x:f t="shared" si="14">IFERROR(L321/Q321,0)</x:f>
        <x:v>0.9099865852465735</x:v>
      </x:c>
    </x:row>
    <x:row r="322">
      <x:c r="A322" s="192" t="str">
        <x:f>'Raw Data'!A322</x:f>
        <x:v>ZOM-0318</x:v>
      </x:c>
      <x:c r="B322" s="193" t="n">
        <x:f>'Raw Data'!B322</x:f>
        <x:v>45975</x:v>
      </x:c>
      <x:c r="C322" s="236" t="str">
        <x:f>'Raw Data'!C322</x:f>
        <x:v>West</x:v>
      </x:c>
      <x:c r="D322" s="192" t="str">
        <x:f>'Raw Data'!D322</x:f>
        <x:v>Mumbai</x:v>
      </x:c>
      <x:c r="E322" s="192" t="str">
        <x:f>'Raw Data'!E322</x:f>
        <x:v>Chinese</x:v>
      </x:c>
      <x:c r="F322" s="192" t="str">
        <x:f>'Raw Data'!F322</x:f>
        <x:v>Budget</x:v>
      </x:c>
      <x:c r="G322" s="192" t="str">
        <x:f>'Raw Data'!G322</x:f>
        <x:v>Budget Customer 18</x:v>
      </x:c>
      <x:c r="H322" s="192" t="n">
        <x:f>'Raw Data'!H322</x:f>
        <x:v>118</x:v>
      </x:c>
      <x:c r="I322" s="195" t="n">
        <x:f>'Raw Data'!I322</x:f>
        <x:v>467</x:v>
      </x:c>
      <x:c r="J322" s="196" t="n">
        <x:f>'Raw Data'!J322</x:f>
        <x:v>0.1</x:v>
      </x:c>
      <x:c r="K322" s="195" t="n">
        <x:f>'Raw Data'!K322</x:f>
        <x:v>55106</x:v>
      </x:c>
      <x:c r="L322" s="195" t="n">
        <x:f>'Raw Data'!L322</x:f>
        <x:v>49595.4</x:v>
      </x:c>
      <x:c r="M322" s="195" t="n">
        <x:f>'Raw Data'!M322</x:f>
        <x:v>36700.596</x:v>
      </x:c>
      <x:c r="N322" s="195" t="n">
        <x:f>'Raw Data'!N322</x:f>
        <x:v>12894.804000000004</x:v>
      </x:c>
      <x:c r="O322" s="195" t="n">
        <x:f>'Raw Data'!O322</x:f>
        <x:v>6447.402</x:v>
      </x:c>
      <x:c r="P322" s="195" t="n">
        <x:f>'Raw Data'!P322</x:f>
        <x:v>6447.402000000004</x:v>
      </x:c>
      <x:c r="Q322" s="195" t="n">
        <x:f>'Raw Data'!Q322</x:f>
        <x:v>49975.32290674185</x:v>
      </x:c>
      <x:c r="R322" s="196" t="n">
        <x:f t="shared" si="12">IFERROR(N322/L322,0)</x:f>
        <x:v>0.26000000000000006</x:v>
      </x:c>
      <x:c r="S322" s="196" t="n">
        <x:f t="shared" si="13">IFERROR(P322/L322,0)</x:f>
        <x:v>0.13000000000000006</x:v>
      </x:c>
      <x:c r="T322" s="196" t="n">
        <x:f t="shared" si="14">IFERROR(L322/Q322,0)</x:f>
        <x:v>0.9923977898561893</x:v>
      </x:c>
    </x:row>
    <x:row r="323">
      <x:c r="A323" s="192" t="str">
        <x:f>'Raw Data'!A323</x:f>
        <x:v>ZOM-0319</x:v>
      </x:c>
      <x:c r="B323" s="193" t="n">
        <x:f>'Raw Data'!B323</x:f>
        <x:v>45976</x:v>
      </x:c>
      <x:c r="C323" s="236" t="str">
        <x:f>'Raw Data'!C323</x:f>
        <x:v>East</x:v>
      </x:c>
      <x:c r="D323" s="192" t="str">
        <x:f>'Raw Data'!D323</x:f>
        <x:v>Patna</x:v>
      </x:c>
      <x:c r="E323" s="192" t="str">
        <x:f>'Raw Data'!E323</x:f>
        <x:v>Biryani</x:v>
      </x:c>
      <x:c r="F323" s="192" t="str">
        <x:f>'Raw Data'!F323</x:f>
        <x:v>Budget</x:v>
      </x:c>
      <x:c r="G323" s="192" t="str">
        <x:f>'Raw Data'!G323</x:f>
        <x:v>Budget Customer 39</x:v>
      </x:c>
      <x:c r="H323" s="192" t="n">
        <x:f>'Raw Data'!H323</x:f>
        <x:v>89</x:v>
      </x:c>
      <x:c r="I323" s="195" t="n">
        <x:f>'Raw Data'!I323</x:f>
        <x:v>414</x:v>
      </x:c>
      <x:c r="J323" s="196" t="n">
        <x:f>'Raw Data'!J323</x:f>
        <x:v>0.1</x:v>
      </x:c>
      <x:c r="K323" s="195" t="n">
        <x:f>'Raw Data'!K323</x:f>
        <x:v>36846</x:v>
      </x:c>
      <x:c r="L323" s="195" t="n">
        <x:f>'Raw Data'!L323</x:f>
        <x:v>33161.4</x:v>
      </x:c>
      <x:c r="M323" s="195" t="n">
        <x:f>'Raw Data'!M323</x:f>
        <x:v>24539.436</x:v>
      </x:c>
      <x:c r="N323" s="195" t="n">
        <x:f>'Raw Data'!N323</x:f>
        <x:v>8621.964</x:v>
      </x:c>
      <x:c r="O323" s="195" t="n">
        <x:f>'Raw Data'!O323</x:f>
        <x:v>4310.982</x:v>
      </x:c>
      <x:c r="P323" s="195" t="n">
        <x:f>'Raw Data'!P323</x:f>
        <x:v>4310.982</x:v>
      </x:c>
      <x:c r="Q323" s="195" t="n">
        <x:f>'Raw Data'!Q323</x:f>
        <x:v>36354.3006090357</x:v>
      </x:c>
      <x:c r="R323" s="196" t="n">
        <x:f t="shared" si="12">IFERROR(N323/L323,0)</x:f>
        <x:v>0.26</x:v>
      </x:c>
      <x:c r="S323" s="196" t="n">
        <x:f t="shared" si="13">IFERROR(P323/L323,0)</x:f>
        <x:v>0.13</x:v>
      </x:c>
      <x:c r="T323" s="196" t="n">
        <x:f t="shared" si="14">IFERROR(L323/Q323,0)</x:f>
        <x:v>0.9121726850593814</x:v>
      </x:c>
    </x:row>
    <x:row r="324">
      <x:c r="A324" s="192" t="str">
        <x:f>'Raw Data'!A324</x:f>
        <x:v>ZOM-0320</x:v>
      </x:c>
      <x:c r="B324" s="193" t="n">
        <x:f>'Raw Data'!B324</x:f>
        <x:v>45977</x:v>
      </x:c>
      <x:c r="C324" s="236" t="str">
        <x:f>'Raw Data'!C324</x:f>
        <x:v>West</x:v>
      </x:c>
      <x:c r="D324" s="192" t="str">
        <x:f>'Raw Data'!D324</x:f>
        <x:v>Ahmedabad</x:v>
      </x:c>
      <x:c r="E324" s="192" t="str">
        <x:f>'Raw Data'!E324</x:f>
        <x:v>Burgers</x:v>
      </x:c>
      <x:c r="F324" s="192" t="str">
        <x:f>'Raw Data'!F324</x:f>
        <x:v>Budget</x:v>
      </x:c>
      <x:c r="G324" s="192" t="str">
        <x:f>'Raw Data'!G324</x:f>
        <x:v>Budget Customer 38</x:v>
      </x:c>
      <x:c r="H324" s="192" t="n">
        <x:f>'Raw Data'!H324</x:f>
        <x:v>134</x:v>
      </x:c>
      <x:c r="I324" s="195" t="n">
        <x:f>'Raw Data'!I324</x:f>
        <x:v>512</x:v>
      </x:c>
      <x:c r="J324" s="196" t="n">
        <x:f>'Raw Data'!J324</x:f>
        <x:v>0.1</x:v>
      </x:c>
      <x:c r="K324" s="195" t="n">
        <x:f>'Raw Data'!K324</x:f>
        <x:v>68608</x:v>
      </x:c>
      <x:c r="L324" s="195" t="n">
        <x:f>'Raw Data'!L324</x:f>
        <x:v>61747.200000000004</x:v>
      </x:c>
      <x:c r="M324" s="195" t="n">
        <x:f>'Raw Data'!M324</x:f>
        <x:v>45692.928</x:v>
      </x:c>
      <x:c r="N324" s="195" t="n">
        <x:f>'Raw Data'!N324</x:f>
        <x:v>16054.272000000004</x:v>
      </x:c>
      <x:c r="O324" s="195" t="n">
        <x:f>'Raw Data'!O324</x:f>
        <x:v>8027.136</x:v>
      </x:c>
      <x:c r="P324" s="195" t="n">
        <x:f>'Raw Data'!P324</x:f>
        <x:v>8027.136000000004</x:v>
      </x:c>
      <x:c r="Q324" s="195" t="n">
        <x:f>'Raw Data'!Q324</x:f>
        <x:v>67206.1372874723</x:v>
      </x:c>
      <x:c r="R324" s="196" t="n">
        <x:f t="shared" si="12">IFERROR(N324/L324,0)</x:f>
        <x:v>0.26000000000000006</x:v>
      </x:c>
      <x:c r="S324" s="196" t="n">
        <x:f t="shared" si="13">IFERROR(P324/L324,0)</x:f>
        <x:v>0.13000000000000006</x:v>
      </x:c>
      <x:c r="T324" s="196" t="n">
        <x:f t="shared" si="14">IFERROR(L324/Q324,0)</x:f>
        <x:v>0.9187732325081882</x:v>
      </x:c>
    </x:row>
    <x:row r="325">
      <x:c r="A325" s="192" t="str">
        <x:f>'Raw Data'!A325</x:f>
        <x:v>ZOM-0321</x:v>
      </x:c>
      <x:c r="B325" s="193" t="n">
        <x:f>'Raw Data'!B325</x:f>
        <x:v>45978</x:v>
      </x:c>
      <x:c r="C325" s="236" t="str">
        <x:f>'Raw Data'!C325</x:f>
        <x:v>East</x:v>
      </x:c>
      <x:c r="D325" s="192" t="str">
        <x:f>'Raw Data'!D325</x:f>
        <x:v>Guwahati</x:v>
      </x:c>
      <x:c r="E325" s="192" t="str">
        <x:f>'Raw Data'!E325</x:f>
        <x:v>Healthy</x:v>
      </x:c>
      <x:c r="F325" s="192" t="str">
        <x:f>'Raw Data'!F325</x:f>
        <x:v>Repeat User</x:v>
      </x:c>
      <x:c r="G325" s="192" t="str">
        <x:f>'Raw Data'!G325</x:f>
        <x:v>Repeat User Customer 55</x:v>
      </x:c>
      <x:c r="H325" s="192" t="n">
        <x:f>'Raw Data'!H325</x:f>
        <x:v>100</x:v>
      </x:c>
      <x:c r="I325" s="195" t="n">
        <x:f>'Raw Data'!I325</x:f>
        <x:v>435</x:v>
      </x:c>
      <x:c r="J325" s="196" t="n">
        <x:f>'Raw Data'!J325</x:f>
        <x:v>0.060000000000000005</x:v>
      </x:c>
      <x:c r="K325" s="195" t="n">
        <x:f>'Raw Data'!K325</x:f>
        <x:v>43500</x:v>
      </x:c>
      <x:c r="L325" s="195" t="n">
        <x:f>'Raw Data'!L325</x:f>
        <x:v>40890</x:v>
      </x:c>
      <x:c r="M325" s="195" t="n">
        <x:f>'Raw Data'!M325</x:f>
        <x:v>28623</x:v>
      </x:c>
      <x:c r="N325" s="195" t="n">
        <x:f>'Raw Data'!N325</x:f>
        <x:v>12267</x:v>
      </x:c>
      <x:c r="O325" s="195" t="n">
        <x:f>'Raw Data'!O325</x:f>
        <x:v>5315.7</x:v>
      </x:c>
      <x:c r="P325" s="195" t="n">
        <x:f>'Raw Data'!P325</x:f>
        <x:v>6951.3</x:v>
      </x:c>
      <x:c r="Q325" s="195" t="n">
        <x:f>'Raw Data'!Q325</x:f>
        <x:v>43379.29253349153</x:v>
      </x:c>
      <x:c r="R325" s="196" t="n">
        <x:f t="shared" ref="R325:R364" si="15">IFERROR(N325/L325,0)</x:f>
        <x:v>0.3</x:v>
      </x:c>
      <x:c r="S325" s="196" t="n">
        <x:f t="shared" ref="S325:S364" si="16">IFERROR(P325/L325,0)</x:f>
        <x:v>0.17</x:v>
      </x:c>
      <x:c r="T325" s="196" t="n">
        <x:f t="shared" ref="T325:T364" si="17">IFERROR(L325/Q325,0)</x:f>
        <x:v>0.9426156493545939</x:v>
      </x:c>
    </x:row>
    <x:row r="326">
      <x:c r="A326" s="192" t="str">
        <x:f>'Raw Data'!A326</x:f>
        <x:v>ZOM-0322</x:v>
      </x:c>
      <x:c r="B326" s="193" t="n">
        <x:f>'Raw Data'!B326</x:f>
        <x:v>45979</x:v>
      </x:c>
      <x:c r="C326" s="236" t="str">
        <x:f>'Raw Data'!C326</x:f>
        <x:v>North</x:v>
      </x:c>
      <x:c r="D326" s="192" t="str">
        <x:f>'Raw Data'!D326</x:f>
        <x:v>Lucknow</x:v>
      </x:c>
      <x:c r="E326" s="192" t="str">
        <x:f>'Raw Data'!E326</x:f>
        <x:v>Biryani</x:v>
      </x:c>
      <x:c r="F326" s="192" t="str">
        <x:f>'Raw Data'!F326</x:f>
        <x:v>New User</x:v>
      </x:c>
      <x:c r="G326" s="192" t="str">
        <x:f>'Raw Data'!G326</x:f>
        <x:v>New User Customer 15</x:v>
      </x:c>
      <x:c r="H326" s="192" t="n">
        <x:f>'Raw Data'!H326</x:f>
        <x:v>92</x:v>
      </x:c>
      <x:c r="I326" s="195" t="n">
        <x:f>'Raw Data'!I326</x:f>
        <x:v>524</x:v>
      </x:c>
      <x:c r="J326" s="196" t="n">
        <x:f>'Raw Data'!J326</x:f>
        <x:v>0.08</x:v>
      </x:c>
      <x:c r="K326" s="195" t="n">
        <x:f>'Raw Data'!K326</x:f>
        <x:v>48208</x:v>
      </x:c>
      <x:c r="L326" s="195" t="n">
        <x:f>'Raw Data'!L326</x:f>
        <x:v>44351.36</x:v>
      </x:c>
      <x:c r="M326" s="195" t="n">
        <x:f>'Raw Data'!M326</x:f>
        <x:v>32820.0064</x:v>
      </x:c>
      <x:c r="N326" s="195" t="n">
        <x:f>'Raw Data'!N326</x:f>
        <x:v>11531.353600000002</x:v>
      </x:c>
      <x:c r="O326" s="195" t="n">
        <x:f>'Raw Data'!O326</x:f>
        <x:v>5765.6768</x:v>
      </x:c>
      <x:c r="P326" s="195" t="n">
        <x:f>'Raw Data'!P326</x:f>
        <x:v>5765.676800000002</x:v>
      </x:c>
      <x:c r="Q326" s="195" t="n">
        <x:f>'Raw Data'!Q326</x:f>
        <x:v>47834.3679809708</x:v>
      </x:c>
      <x:c r="R326" s="196" t="n">
        <x:f t="shared" si="15">IFERROR(N326/L326,0)</x:f>
        <x:v>0.26000000000000006</x:v>
      </x:c>
      <x:c r="S326" s="196" t="n">
        <x:f t="shared" si="16">IFERROR(P326/L326,0)</x:f>
        <x:v>0.13000000000000003</x:v>
      </x:c>
      <x:c r="T326" s="196" t="n">
        <x:f t="shared" si="17">IFERROR(L326/Q326,0)</x:f>
        <x:v>0.9271860771243724</x:v>
      </x:c>
    </x:row>
    <x:row r="327">
      <x:c r="A327" s="192" t="str">
        <x:f>'Raw Data'!A327</x:f>
        <x:v>ZOM-0323</x:v>
      </x:c>
      <x:c r="B327" s="193" t="n">
        <x:f>'Raw Data'!B327</x:f>
        <x:v>45980</x:v>
      </x:c>
      <x:c r="C327" s="236" t="str">
        <x:f>'Raw Data'!C327</x:f>
        <x:v>South</x:v>
      </x:c>
      <x:c r="D327" s="192" t="str">
        <x:f>'Raw Data'!D327</x:f>
        <x:v>Chennai</x:v>
      </x:c>
      <x:c r="E327" s="192" t="str">
        <x:f>'Raw Data'!E327</x:f>
        <x:v>South Indian</x:v>
      </x:c>
      <x:c r="F327" s="192" t="str">
        <x:f>'Raw Data'!F327</x:f>
        <x:v>Student</x:v>
      </x:c>
      <x:c r="G327" s="192" t="str">
        <x:f>'Raw Data'!G327</x:f>
        <x:v>Student Customer 41</x:v>
      </x:c>
      <x:c r="H327" s="192" t="n">
        <x:f>'Raw Data'!H327</x:f>
        <x:v>108</x:v>
      </x:c>
      <x:c r="I327" s="195" t="n">
        <x:f>'Raw Data'!I327</x:f>
        <x:v>336</x:v>
      </x:c>
      <x:c r="J327" s="196" t="n">
        <x:f>'Raw Data'!J327</x:f>
        <x:v>0.12</x:v>
      </x:c>
      <x:c r="K327" s="195" t="n">
        <x:f>'Raw Data'!K327</x:f>
        <x:v>36288</x:v>
      </x:c>
      <x:c r="L327" s="195" t="n">
        <x:f>'Raw Data'!L327</x:f>
        <x:v>31933.44</x:v>
      </x:c>
      <x:c r="M327" s="195" t="n">
        <x:f>'Raw Data'!M327</x:f>
        <x:v>23630.7456</x:v>
      </x:c>
      <x:c r="N327" s="195" t="n">
        <x:f>'Raw Data'!N327</x:f>
        <x:v>8302.6944</x:v>
      </x:c>
      <x:c r="O327" s="195" t="n">
        <x:f>'Raw Data'!O327</x:f>
        <x:v>4151.3472</x:v>
      </x:c>
      <x:c r="P327" s="195" t="n">
        <x:f>'Raw Data'!P327</x:f>
        <x:v>4151.3472</x:v>
      </x:c>
      <x:c r="Q327" s="195" t="n">
        <x:f>'Raw Data'!Q327</x:f>
        <x:v>32139.130776350536</x:v>
      </x:c>
      <x:c r="R327" s="196" t="n">
        <x:f t="shared" si="15">IFERROR(N327/L327,0)</x:f>
        <x:v>0.26</x:v>
      </x:c>
      <x:c r="S327" s="196" t="n">
        <x:f t="shared" si="16">IFERROR(P327/L327,0)</x:f>
        <x:v>0.13</x:v>
      </x:c>
      <x:c r="T327" s="196" t="n">
        <x:f t="shared" si="17">IFERROR(L327/Q327,0)</x:f>
        <x:v>0.993599989440228</x:v>
      </x:c>
    </x:row>
    <x:row r="328">
      <x:c r="A328" s="192" t="str">
        <x:f>'Raw Data'!A328</x:f>
        <x:v>ZOM-0324</x:v>
      </x:c>
      <x:c r="B328" s="193" t="n">
        <x:f>'Raw Data'!B328</x:f>
        <x:v>45981</x:v>
      </x:c>
      <x:c r="C328" s="236" t="str">
        <x:f>'Raw Data'!C328</x:f>
        <x:v>West</x:v>
      </x:c>
      <x:c r="D328" s="192" t="str">
        <x:f>'Raw Data'!D328</x:f>
        <x:v>Nagpur</x:v>
      </x:c>
      <x:c r="E328" s="192" t="str">
        <x:f>'Raw Data'!E328</x:f>
        <x:v>North Indian</x:v>
      </x:c>
      <x:c r="F328" s="192" t="str">
        <x:f>'Raw Data'!F328</x:f>
        <x:v>Student</x:v>
      </x:c>
      <x:c r="G328" s="192" t="str">
        <x:f>'Raw Data'!G328</x:f>
        <x:v>Student Customer 10</x:v>
      </x:c>
      <x:c r="H328" s="192" t="n">
        <x:f>'Raw Data'!H328</x:f>
        <x:v>129</x:v>
      </x:c>
      <x:c r="I328" s="195" t="n">
        <x:f>'Raw Data'!I328</x:f>
        <x:v>453</x:v>
      </x:c>
      <x:c r="J328" s="196" t="n">
        <x:f>'Raw Data'!J328</x:f>
        <x:v>0.13</x:v>
      </x:c>
      <x:c r="K328" s="195" t="n">
        <x:f>'Raw Data'!K328</x:f>
        <x:v>58437</x:v>
      </x:c>
      <x:c r="L328" s="195" t="n">
        <x:f>'Raw Data'!L328</x:f>
        <x:v>50840.19</x:v>
      </x:c>
      <x:c r="M328" s="195" t="n">
        <x:f>'Raw Data'!M328</x:f>
        <x:v>37113.3387</x:v>
      </x:c>
      <x:c r="N328" s="195" t="n">
        <x:f>'Raw Data'!N328</x:f>
        <x:v>13726.851300000002</x:v>
      </x:c>
      <x:c r="O328" s="195" t="n">
        <x:f>'Raw Data'!O328</x:f>
        <x:v>6609.224700000001</x:v>
      </x:c>
      <x:c r="P328" s="195" t="n">
        <x:f>'Raw Data'!P328</x:f>
        <x:v>7117.626600000001</x:v>
      </x:c>
      <x:c r="Q328" s="195" t="n">
        <x:f>'Raw Data'!Q328</x:f>
        <x:v>56153.08632743095</x:v>
      </x:c>
      <x:c r="R328" s="196" t="n">
        <x:f t="shared" si="15">IFERROR(N328/L328,0)</x:f>
        <x:v>0.27</x:v>
      </x:c>
      <x:c r="S328" s="196" t="n">
        <x:f t="shared" si="16">IFERROR(P328/L328,0)</x:f>
        <x:v>0.14</x:v>
      </x:c>
      <x:c r="T328" s="196" t="n">
        <x:f t="shared" si="17">IFERROR(L328/Q328,0)</x:f>
        <x:v>0.9053854974871509</x:v>
      </x:c>
    </x:row>
    <x:row r="329">
      <x:c r="A329" s="192" t="str">
        <x:f>'Raw Data'!A329</x:f>
        <x:v>ZOM-0325</x:v>
      </x:c>
      <x:c r="B329" s="193" t="n">
        <x:f>'Raw Data'!B329</x:f>
        <x:v>45982</x:v>
      </x:c>
      <x:c r="C329" s="236" t="str">
        <x:f>'Raw Data'!C329</x:f>
        <x:v>North</x:v>
      </x:c>
      <x:c r="D329" s="192" t="str">
        <x:f>'Raw Data'!D329</x:f>
        <x:v>Noida</x:v>
      </x:c>
      <x:c r="E329" s="192" t="str">
        <x:f>'Raw Data'!E329</x:f>
        <x:v>Pizza</x:v>
      </x:c>
      <x:c r="F329" s="192" t="str">
        <x:f>'Raw Data'!F329</x:f>
        <x:v>Student</x:v>
      </x:c>
      <x:c r="G329" s="192" t="str">
        <x:f>'Raw Data'!G329</x:f>
        <x:v>Student Customer 12</x:v>
      </x:c>
      <x:c r="H329" s="192" t="n">
        <x:f>'Raw Data'!H329</x:f>
        <x:v>112</x:v>
      </x:c>
      <x:c r="I329" s="195" t="n">
        <x:f>'Raw Data'!I329</x:f>
        <x:v>547</x:v>
      </x:c>
      <x:c r="J329" s="196" t="n">
        <x:f>'Raw Data'!J329</x:f>
        <x:v>0.12</x:v>
      </x:c>
      <x:c r="K329" s="195" t="n">
        <x:f>'Raw Data'!K329</x:f>
        <x:v>61264</x:v>
      </x:c>
      <x:c r="L329" s="195" t="n">
        <x:f>'Raw Data'!L329</x:f>
        <x:v>53912.32</x:v>
      </x:c>
      <x:c r="M329" s="195" t="n">
        <x:f>'Raw Data'!M329</x:f>
        <x:v>39895.116799999996</x:v>
      </x:c>
      <x:c r="N329" s="195" t="n">
        <x:f>'Raw Data'!N329</x:f>
        <x:v>14017.203200000004</x:v>
      </x:c>
      <x:c r="O329" s="195" t="n">
        <x:f>'Raw Data'!O329</x:f>
        <x:v>7008.6016</x:v>
      </x:c>
      <x:c r="P329" s="195" t="n">
        <x:f>'Raw Data'!P329</x:f>
        <x:v>7008.601600000004</x:v>
      </x:c>
      <x:c r="Q329" s="195" t="n">
        <x:f>'Raw Data'!Q329</x:f>
        <x:v>57994.77288984563</x:v>
      </x:c>
      <x:c r="R329" s="196" t="n">
        <x:f t="shared" si="15">IFERROR(N329/L329,0)</x:f>
        <x:v>0.26000000000000006</x:v>
      </x:c>
      <x:c r="S329" s="196" t="n">
        <x:f t="shared" si="16">IFERROR(P329/L329,0)</x:f>
        <x:v>0.13000000000000006</x:v>
      </x:c>
      <x:c r="T329" s="196" t="n">
        <x:f t="shared" si="17">IFERROR(L329/Q329,0)</x:f>
        <x:v>0.9296065371684482</x:v>
      </x:c>
    </x:row>
    <x:row r="330">
      <x:c r="A330" s="192" t="str">
        <x:f>'Raw Data'!A330</x:f>
        <x:v>ZOM-0326</x:v>
      </x:c>
      <x:c r="B330" s="193" t="n">
        <x:f>'Raw Data'!B330</x:f>
        <x:v>45983</x:v>
      </x:c>
      <x:c r="C330" s="236" t="str">
        <x:f>'Raw Data'!C330</x:f>
        <x:v>South</x:v>
      </x:c>
      <x:c r="D330" s="192" t="str">
        <x:f>'Raw Data'!D330</x:f>
        <x:v>Bengaluru</x:v>
      </x:c>
      <x:c r="E330" s="192" t="str">
        <x:f>'Raw Data'!E330</x:f>
        <x:v>North Indian</x:v>
      </x:c>
      <x:c r="F330" s="192" t="str">
        <x:f>'Raw Data'!F330</x:f>
        <x:v>Repeat User</x:v>
      </x:c>
      <x:c r="G330" s="192" t="str">
        <x:f>'Raw Data'!G330</x:f>
        <x:v>Repeat User Customer 40</x:v>
      </x:c>
      <x:c r="H330" s="192" t="n">
        <x:f>'Raw Data'!H330</x:f>
        <x:v>109</x:v>
      </x:c>
      <x:c r="I330" s="195" t="n">
        <x:f>'Raw Data'!I330</x:f>
        <x:v>555</x:v>
      </x:c>
      <x:c r="J330" s="196" t="n">
        <x:f>'Raw Data'!J330</x:f>
        <x:v>0.05</x:v>
      </x:c>
      <x:c r="K330" s="195" t="n">
        <x:f>'Raw Data'!K330</x:f>
        <x:v>60495</x:v>
      </x:c>
      <x:c r="L330" s="195" t="n">
        <x:f>'Raw Data'!L330</x:f>
        <x:v>57470.25</x:v>
      </x:c>
      <x:c r="M330" s="195" t="n">
        <x:f>'Raw Data'!M330</x:f>
        <x:v>41953.2825</x:v>
      </x:c>
      <x:c r="N330" s="195" t="n">
        <x:f>'Raw Data'!N330</x:f>
        <x:v>15516.967499999999</x:v>
      </x:c>
      <x:c r="O330" s="195" t="n">
        <x:f>'Raw Data'!O330</x:f>
        <x:v>7471.132500000001</x:v>
      </x:c>
      <x:c r="P330" s="195" t="n">
        <x:f>'Raw Data'!P330</x:f>
        <x:v>8045.834999999998</x:v>
      </x:c>
      <x:c r="Q330" s="195" t="n">
        <x:f>'Raw Data'!Q330</x:f>
        <x:v>58077.42096434019</x:v>
      </x:c>
      <x:c r="R330" s="196" t="n">
        <x:f t="shared" si="15">IFERROR(N330/L330,0)</x:f>
        <x:v>0.26999999999999996</x:v>
      </x:c>
      <x:c r="S330" s="196" t="n">
        <x:f t="shared" si="16">IFERROR(P330/L330,0)</x:f>
        <x:v>0.13999999999999996</x:v>
      </x:c>
      <x:c r="T330" s="196" t="n">
        <x:f t="shared" si="17">IFERROR(L330/Q330,0)</x:f>
        <x:v>0.9895454902394341</x:v>
      </x:c>
    </x:row>
    <x:row r="331">
      <x:c r="A331" s="192" t="str">
        <x:f>'Raw Data'!A331</x:f>
        <x:v>ZOM-0327</x:v>
      </x:c>
      <x:c r="B331" s="193" t="n">
        <x:f>'Raw Data'!B331</x:f>
        <x:v>45984</x:v>
      </x:c>
      <x:c r="C331" s="236" t="str">
        <x:f>'Raw Data'!C331</x:f>
        <x:v>West</x:v>
      </x:c>
      <x:c r="D331" s="192" t="str">
        <x:f>'Raw Data'!D331</x:f>
        <x:v>Surat</x:v>
      </x:c>
      <x:c r="E331" s="192" t="str">
        <x:f>'Raw Data'!E331</x:f>
        <x:v>South Indian</x:v>
      </x:c>
      <x:c r="F331" s="192" t="str">
        <x:f>'Raw Data'!F331</x:f>
        <x:v>Student</x:v>
      </x:c>
      <x:c r="G331" s="192" t="str">
        <x:f>'Raw Data'!G331</x:f>
        <x:v>Student Customer 49</x:v>
      </x:c>
      <x:c r="H331" s="192" t="n">
        <x:f>'Raw Data'!H331</x:f>
        <x:v>114</x:v>
      </x:c>
      <x:c r="I331" s="195" t="n">
        <x:f>'Raw Data'!I331</x:f>
        <x:v>296</x:v>
      </x:c>
      <x:c r="J331" s="196" t="n">
        <x:f>'Raw Data'!J331</x:f>
        <x:v>0.12</x:v>
      </x:c>
      <x:c r="K331" s="195" t="n">
        <x:f>'Raw Data'!K331</x:f>
        <x:v>33744</x:v>
      </x:c>
      <x:c r="L331" s="195" t="n">
        <x:f>'Raw Data'!L331</x:f>
        <x:v>29694.72</x:v>
      </x:c>
      <x:c r="M331" s="195" t="n">
        <x:f>'Raw Data'!M331</x:f>
        <x:v>21974.092800000002</x:v>
      </x:c>
      <x:c r="N331" s="195" t="n">
        <x:f>'Raw Data'!N331</x:f>
        <x:v>7720.627199999999</x:v>
      </x:c>
      <x:c r="O331" s="195" t="n">
        <x:f>'Raw Data'!O331</x:f>
        <x:v>3860.3136000000004</x:v>
      </x:c>
      <x:c r="P331" s="195" t="n">
        <x:f>'Raw Data'!P331</x:f>
        <x:v>3860.3135999999986</x:v>
      </x:c>
      <x:c r="Q331" s="195" t="n">
        <x:f>'Raw Data'!Q331</x:f>
        <x:v>32873.26560654147</x:v>
      </x:c>
      <x:c r="R331" s="196" t="n">
        <x:f t="shared" si="15">IFERROR(N331/L331,0)</x:f>
        <x:v>0.25999999999999995</x:v>
      </x:c>
      <x:c r="S331" s="196" t="n">
        <x:f t="shared" si="16">IFERROR(P331/L331,0)</x:f>
        <x:v>0.12999999999999995</x:v>
      </x:c>
      <x:c r="T331" s="196" t="n">
        <x:f t="shared" si="17">IFERROR(L331/Q331,0)</x:f>
        <x:v>0.9033091009397932</x:v>
      </x:c>
    </x:row>
    <x:row r="332">
      <x:c r="A332" s="192" t="str">
        <x:f>'Raw Data'!A332</x:f>
        <x:v>ZOM-0328</x:v>
      </x:c>
      <x:c r="B332" s="193" t="n">
        <x:f>'Raw Data'!B332</x:f>
        <x:v>45985</x:v>
      </x:c>
      <x:c r="C332" s="236" t="str">
        <x:f>'Raw Data'!C332</x:f>
        <x:v>Metro</x:v>
      </x:c>
      <x:c r="D332" s="192" t="str">
        <x:f>'Raw Data'!D332</x:f>
        <x:v>Mumbai</x:v>
      </x:c>
      <x:c r="E332" s="192" t="str">
        <x:f>'Raw Data'!E332</x:f>
        <x:v>North Indian</x:v>
      </x:c>
      <x:c r="F332" s="192" t="str">
        <x:f>'Raw Data'!F332</x:f>
        <x:v>New User</x:v>
      </x:c>
      <x:c r="G332" s="192" t="str">
        <x:f>'Raw Data'!G332</x:f>
        <x:v>New User Customer 20</x:v>
      </x:c>
      <x:c r="H332" s="192" t="n">
        <x:f>'Raw Data'!H332</x:f>
        <x:v>122</x:v>
      </x:c>
      <x:c r="I332" s="195" t="n">
        <x:f>'Raw Data'!I332</x:f>
        <x:v>477</x:v>
      </x:c>
      <x:c r="J332" s="196" t="n">
        <x:f>'Raw Data'!J332</x:f>
        <x:v>0.08</x:v>
      </x:c>
      <x:c r="K332" s="195" t="n">
        <x:f>'Raw Data'!K332</x:f>
        <x:v>58194</x:v>
      </x:c>
      <x:c r="L332" s="195" t="n">
        <x:f>'Raw Data'!L332</x:f>
        <x:v>53538.48</x:v>
      </x:c>
      <x:c r="M332" s="195" t="n">
        <x:f>'Raw Data'!M332</x:f>
        <x:v>39083.0904</x:v>
      </x:c>
      <x:c r="N332" s="195" t="n">
        <x:f>'Raw Data'!N332</x:f>
        <x:v>14455.389600000002</x:v>
      </x:c>
      <x:c r="O332" s="195" t="n">
        <x:f>'Raw Data'!O332</x:f>
        <x:v>6960.0024</x:v>
      </x:c>
      <x:c r="P332" s="195" t="n">
        <x:f>'Raw Data'!P332</x:f>
        <x:v>7495.387200000002</x:v>
      </x:c>
      <x:c r="Q332" s="195" t="n">
        <x:f>'Raw Data'!Q332</x:f>
        <x:v>56772.224399684055</x:v>
      </x:c>
      <x:c r="R332" s="196" t="n">
        <x:f t="shared" si="15">IFERROR(N332/L332,0)</x:f>
        <x:v>0.27</x:v>
      </x:c>
      <x:c r="S332" s="196" t="n">
        <x:f t="shared" si="16">IFERROR(P332/L332,0)</x:f>
        <x:v>0.14000000000000004</x:v>
      </x:c>
      <x:c r="T332" s="196" t="n">
        <x:f t="shared" si="17">IFERROR(L332/Q332,0)</x:f>
        <x:v>0.9430400264587475</x:v>
      </x:c>
    </x:row>
    <x:row r="333">
      <x:c r="A333" s="192" t="str">
        <x:f>'Raw Data'!A333</x:f>
        <x:v>ZOM-0329</x:v>
      </x:c>
      <x:c r="B333" s="193" t="n">
        <x:f>'Raw Data'!B333</x:f>
        <x:v>45986</x:v>
      </x:c>
      <x:c r="C333" s="236" t="str">
        <x:f>'Raw Data'!C333</x:f>
        <x:v>North</x:v>
      </x:c>
      <x:c r="D333" s="192" t="str">
        <x:f>'Raw Data'!D333</x:f>
        <x:v>Delhi</x:v>
      </x:c>
      <x:c r="E333" s="192" t="str">
        <x:f>'Raw Data'!E333</x:f>
        <x:v>Pizza</x:v>
      </x:c>
      <x:c r="F333" s="192" t="str">
        <x:f>'Raw Data'!F333</x:f>
        <x:v>Repeat User</x:v>
      </x:c>
      <x:c r="G333" s="192" t="str">
        <x:f>'Raw Data'!G333</x:f>
        <x:v>Repeat User Customer 58</x:v>
      </x:c>
      <x:c r="H333" s="192" t="n">
        <x:f>'Raw Data'!H333</x:f>
        <x:v>154</x:v>
      </x:c>
      <x:c r="I333" s="195" t="n">
        <x:f>'Raw Data'!I333</x:f>
        <x:v>667</x:v>
      </x:c>
      <x:c r="J333" s="196" t="n">
        <x:f>'Raw Data'!J333</x:f>
        <x:v>0.05</x:v>
      </x:c>
      <x:c r="K333" s="195" t="n">
        <x:f>'Raw Data'!K333</x:f>
        <x:v>102718</x:v>
      </x:c>
      <x:c r="L333" s="195" t="n">
        <x:f>'Raw Data'!L333</x:f>
        <x:v>97582.09999999999</x:v>
      </x:c>
      <x:c r="M333" s="195" t="n">
        <x:f>'Raw Data'!M333</x:f>
        <x:v>72210.75399999999</x:v>
      </x:c>
      <x:c r="N333" s="195" t="n">
        <x:f>'Raw Data'!N333</x:f>
        <x:v>25371.346000000005</x:v>
      </x:c>
      <x:c r="O333" s="195" t="n">
        <x:f>'Raw Data'!O333</x:f>
        <x:v>12685.672999999999</x:v>
      </x:c>
      <x:c r="P333" s="195" t="n">
        <x:f>'Raw Data'!P333</x:f>
        <x:v>12685.673000000006</x:v>
      </x:c>
      <x:c r="Q333" s="195" t="n">
        <x:f>'Raw Data'!Q333</x:f>
        <x:v>99148.75442601016</x:v>
      </x:c>
      <x:c r="R333" s="196" t="n">
        <x:f t="shared" si="15">IFERROR(N333/L333,0)</x:f>
        <x:v>0.26000000000000006</x:v>
      </x:c>
      <x:c r="S333" s="196" t="n">
        <x:f t="shared" si="16">IFERROR(P333/L333,0)</x:f>
        <x:v>0.1300000000000001</x:v>
      </x:c>
      <x:c r="T333" s="196" t="n">
        <x:f t="shared" si="17">IFERROR(L333/Q333,0)</x:f>
        <x:v>0.9841989500011391</x:v>
      </x:c>
    </x:row>
    <x:row r="334">
      <x:c r="A334" s="192" t="str">
        <x:f>'Raw Data'!A334</x:f>
        <x:v>ZOM-0330</x:v>
      </x:c>
      <x:c r="B334" s="193" t="n">
        <x:f>'Raw Data'!B334</x:f>
        <x:v>45987</x:v>
      </x:c>
      <x:c r="C334" s="236" t="str">
        <x:f>'Raw Data'!C334</x:f>
        <x:v>West</x:v>
      </x:c>
      <x:c r="D334" s="192" t="str">
        <x:f>'Raw Data'!D334</x:f>
        <x:v>Pune</x:v>
      </x:c>
      <x:c r="E334" s="192" t="str">
        <x:f>'Raw Data'!E334</x:f>
        <x:v>Biryani</x:v>
      </x:c>
      <x:c r="F334" s="192" t="str">
        <x:f>'Raw Data'!F334</x:f>
        <x:v>Student</x:v>
      </x:c>
      <x:c r="G334" s="192" t="str">
        <x:f>'Raw Data'!G334</x:f>
        <x:v>Student Customer 38</x:v>
      </x:c>
      <x:c r="H334" s="192" t="n">
        <x:f>'Raw Data'!H334</x:f>
        <x:v>116</x:v>
      </x:c>
      <x:c r="I334" s="195" t="n">
        <x:f>'Raw Data'!I334</x:f>
        <x:v>381</x:v>
      </x:c>
      <x:c r="J334" s="196" t="n">
        <x:f>'Raw Data'!J334</x:f>
        <x:v>0.12</x:v>
      </x:c>
      <x:c r="K334" s="195" t="n">
        <x:f>'Raw Data'!K334</x:f>
        <x:v>44196</x:v>
      </x:c>
      <x:c r="L334" s="195" t="n">
        <x:f>'Raw Data'!L334</x:f>
        <x:v>38892.48</x:v>
      </x:c>
      <x:c r="M334" s="195" t="n">
        <x:f>'Raw Data'!M334</x:f>
        <x:v>28780.435200000004</x:v>
      </x:c>
      <x:c r="N334" s="195" t="n">
        <x:f>'Raw Data'!N334</x:f>
        <x:v>10112.0448</x:v>
      </x:c>
      <x:c r="O334" s="195" t="n">
        <x:f>'Raw Data'!O334</x:f>
        <x:v>5056.022400000001</x:v>
      </x:c>
      <x:c r="P334" s="195" t="n">
        <x:f>'Raw Data'!P334</x:f>
        <x:v>5056.022399999999</x:v>
      </x:c>
      <x:c r="Q334" s="195" t="n">
        <x:f>'Raw Data'!Q334</x:f>
        <x:v>42318.48722820492</x:v>
      </x:c>
      <x:c r="R334" s="196" t="n">
        <x:f t="shared" si="15">IFERROR(N334/L334,0)</x:f>
        <x:v>0.25999999999999995</x:v>
      </x:c>
      <x:c r="S334" s="196" t="n">
        <x:f t="shared" si="16">IFERROR(P334/L334,0)</x:f>
        <x:v>0.12999999999999995</x:v>
      </x:c>
      <x:c r="T334" s="196" t="n">
        <x:f t="shared" si="17">IFERROR(L334/Q334,0)</x:f>
        <x:v>0.9190423039053837</x:v>
      </x:c>
    </x:row>
    <x:row r="335">
      <x:c r="A335" s="192" t="str">
        <x:f>'Raw Data'!A335</x:f>
        <x:v>ZOM-0331</x:v>
      </x:c>
      <x:c r="B335" s="193" t="n">
        <x:f>'Raw Data'!B335</x:f>
        <x:v>45988</x:v>
      </x:c>
      <x:c r="C335" s="236" t="str">
        <x:f>'Raw Data'!C335</x:f>
        <x:v>West</x:v>
      </x:c>
      <x:c r="D335" s="192" t="str">
        <x:f>'Raw Data'!D335</x:f>
        <x:v>Mumbai</x:v>
      </x:c>
      <x:c r="E335" s="192" t="str">
        <x:f>'Raw Data'!E335</x:f>
        <x:v>Pizza</x:v>
      </x:c>
      <x:c r="F335" s="192" t="str">
        <x:f>'Raw Data'!F335</x:f>
        <x:v>Corporate</x:v>
      </x:c>
      <x:c r="G335" s="192" t="str">
        <x:f>'Raw Data'!G335</x:f>
        <x:v>Corporate Customer 04</x:v>
      </x:c>
      <x:c r="H335" s="192" t="n">
        <x:f>'Raw Data'!H335</x:f>
        <x:v>106</x:v>
      </x:c>
      <x:c r="I335" s="195" t="n">
        <x:f>'Raw Data'!I335</x:f>
        <x:v>608</x:v>
      </x:c>
      <x:c r="J335" s="196" t="n">
        <x:f>'Raw Data'!J335</x:f>
        <x:v>0.02</x:v>
      </x:c>
      <x:c r="K335" s="195" t="n">
        <x:f>'Raw Data'!K335</x:f>
        <x:v>64448</x:v>
      </x:c>
      <x:c r="L335" s="195" t="n">
        <x:f>'Raw Data'!L335</x:f>
        <x:v>63159.04</x:v>
      </x:c>
      <x:c r="M335" s="195" t="n">
        <x:f>'Raw Data'!M335</x:f>
        <x:v>46737.6896</x:v>
      </x:c>
      <x:c r="N335" s="195" t="n">
        <x:f>'Raw Data'!N335</x:f>
        <x:v>16421.350400000003</x:v>
      </x:c>
      <x:c r="O335" s="195" t="n">
        <x:f>'Raw Data'!O335</x:f>
        <x:v>8210.6752</x:v>
      </x:c>
      <x:c r="P335" s="195" t="n">
        <x:f>'Raw Data'!P335</x:f>
        <x:v>8210.675200000003</x:v>
      </x:c>
      <x:c r="Q335" s="195" t="n">
        <x:f>'Raw Data'!Q335</x:f>
        <x:v>67660.44087518446</x:v>
      </x:c>
      <x:c r="R335" s="196" t="n">
        <x:f t="shared" si="15">IFERROR(N335/L335,0)</x:f>
        <x:v>0.26000000000000006</x:v>
      </x:c>
      <x:c r="S335" s="196" t="n">
        <x:f t="shared" si="16">IFERROR(P335/L335,0)</x:f>
        <x:v>0.13000000000000006</x:v>
      </x:c>
      <x:c r="T335" s="196" t="n">
        <x:f t="shared" si="17">IFERROR(L335/Q335,0)</x:f>
        <x:v>0.9334707132120473</x:v>
      </x:c>
    </x:row>
    <x:row r="336">
      <x:c r="A336" s="192" t="str">
        <x:f>'Raw Data'!A336</x:f>
        <x:v>ZOM-0332</x:v>
      </x:c>
      <x:c r="B336" s="193" t="n">
        <x:f>'Raw Data'!B336</x:f>
        <x:v>45989</x:v>
      </x:c>
      <x:c r="C336" s="236" t="str">
        <x:f>'Raw Data'!C336</x:f>
        <x:v>East</x:v>
      </x:c>
      <x:c r="D336" s="192" t="str">
        <x:f>'Raw Data'!D336</x:f>
        <x:v>Kolkata</x:v>
      </x:c>
      <x:c r="E336" s="192" t="str">
        <x:f>'Raw Data'!E336</x:f>
        <x:v>North Indian</x:v>
      </x:c>
      <x:c r="F336" s="192" t="str">
        <x:f>'Raw Data'!F336</x:f>
        <x:v>New User</x:v>
      </x:c>
      <x:c r="G336" s="192" t="str">
        <x:f>'Raw Data'!G336</x:f>
        <x:v>New User Customer 41</x:v>
      </x:c>
      <x:c r="H336" s="192" t="n">
        <x:f>'Raw Data'!H336</x:f>
        <x:v>121</x:v>
      </x:c>
      <x:c r="I336" s="195" t="n">
        <x:f>'Raw Data'!I336</x:f>
        <x:v>511</x:v>
      </x:c>
      <x:c r="J336" s="196" t="n">
        <x:f>'Raw Data'!J336</x:f>
        <x:v>0.08</x:v>
      </x:c>
      <x:c r="K336" s="195" t="n">
        <x:f>'Raw Data'!K336</x:f>
        <x:v>61831</x:v>
      </x:c>
      <x:c r="L336" s="195" t="n">
        <x:f>'Raw Data'!L336</x:f>
        <x:v>56884.520000000004</x:v>
      </x:c>
      <x:c r="M336" s="195" t="n">
        <x:f>'Raw Data'!M336</x:f>
        <x:v>41525.6996</x:v>
      </x:c>
      <x:c r="N336" s="195" t="n">
        <x:f>'Raw Data'!N336</x:f>
        <x:v>15358.820400000004</x:v>
      </x:c>
      <x:c r="O336" s="195" t="n">
        <x:f>'Raw Data'!O336</x:f>
        <x:v>7394.9876</x:v>
      </x:c>
      <x:c r="P336" s="195" t="n">
        <x:f>'Raw Data'!P336</x:f>
        <x:v>7963.832800000004</x:v>
      </x:c>
      <x:c r="Q336" s="195" t="n">
        <x:f>'Raw Data'!Q336</x:f>
        <x:v>61629.99978680689</x:v>
      </x:c>
      <x:c r="R336" s="196" t="n">
        <x:f t="shared" si="15">IFERROR(N336/L336,0)</x:f>
        <x:v>0.2700000000000001</x:v>
      </x:c>
      <x:c r="S336" s="196" t="n">
        <x:f t="shared" si="16">IFERROR(P336/L336,0)</x:f>
        <x:v>0.14000000000000007</x:v>
      </x:c>
      <x:c r="T336" s="196" t="n">
        <x:f t="shared" si="17">IFERROR(L336/Q336,0)</x:f>
        <x:v>0.9230004899688034</x:v>
      </x:c>
    </x:row>
    <x:row r="337">
      <x:c r="A337" s="192" t="str">
        <x:f>'Raw Data'!A337</x:f>
        <x:v>ZOM-0333</x:v>
      </x:c>
      <x:c r="B337" s="193" t="n">
        <x:f>'Raw Data'!B337</x:f>
        <x:v>45990</x:v>
      </x:c>
      <x:c r="C337" s="236" t="str">
        <x:f>'Raw Data'!C337</x:f>
        <x:v>North</x:v>
      </x:c>
      <x:c r="D337" s="192" t="str">
        <x:f>'Raw Data'!D337</x:f>
        <x:v>Jaipur</x:v>
      </x:c>
      <x:c r="E337" s="192" t="str">
        <x:f>'Raw Data'!E337</x:f>
        <x:v>Burgers</x:v>
      </x:c>
      <x:c r="F337" s="192" t="str">
        <x:f>'Raw Data'!F337</x:f>
        <x:v>Budget</x:v>
      </x:c>
      <x:c r="G337" s="192" t="str">
        <x:f>'Raw Data'!G337</x:f>
        <x:v>Budget Customer 40</x:v>
      </x:c>
      <x:c r="H337" s="192" t="n">
        <x:f>'Raw Data'!H337</x:f>
        <x:v>95</x:v>
      </x:c>
      <x:c r="I337" s="195" t="n">
        <x:f>'Raw Data'!I337</x:f>
        <x:v>446</x:v>
      </x:c>
      <x:c r="J337" s="196" t="n">
        <x:f>'Raw Data'!J337</x:f>
        <x:v>0.1</x:v>
      </x:c>
      <x:c r="K337" s="195" t="n">
        <x:f>'Raw Data'!K337</x:f>
        <x:v>42370</x:v>
      </x:c>
      <x:c r="L337" s="195" t="n">
        <x:f>'Raw Data'!L337</x:f>
        <x:v>38133</x:v>
      </x:c>
      <x:c r="M337" s="195" t="n">
        <x:f>'Raw Data'!M337</x:f>
        <x:v>28218.42</x:v>
      </x:c>
      <x:c r="N337" s="195" t="n">
        <x:f>'Raw Data'!N337</x:f>
        <x:v>9914.580000000002</x:v>
      </x:c>
      <x:c r="O337" s="195" t="n">
        <x:f>'Raw Data'!O337</x:f>
        <x:v>4957.29</x:v>
      </x:c>
      <x:c r="P337" s="195" t="n">
        <x:f>'Raw Data'!P337</x:f>
        <x:v>4957.290000000002</x:v>
      </x:c>
      <x:c r="Q337" s="195" t="n">
        <x:f>'Raw Data'!Q337</x:f>
        <x:v>40473.99151947473</x:v>
      </x:c>
      <x:c r="R337" s="196" t="n">
        <x:f t="shared" si="15">IFERROR(N337/L337,0)</x:f>
        <x:v>0.26000000000000006</x:v>
      </x:c>
      <x:c r="S337" s="196" t="n">
        <x:f t="shared" si="16">IFERROR(P337/L337,0)</x:f>
        <x:v>0.13000000000000006</x:v>
      </x:c>
      <x:c r="T337" s="196" t="n">
        <x:f t="shared" si="17">IFERROR(L337/Q337,0)</x:f>
        <x:v>0.9421605966797635</x:v>
      </x:c>
    </x:row>
    <x:row r="338">
      <x:c r="A338" s="192" t="str">
        <x:f>'Raw Data'!A338</x:f>
        <x:v>ZOM-0334</x:v>
      </x:c>
      <x:c r="B338" s="193" t="n">
        <x:f>'Raw Data'!B338</x:f>
        <x:v>45991</x:v>
      </x:c>
      <x:c r="C338" s="236" t="str">
        <x:f>'Raw Data'!C338</x:f>
        <x:v>North</x:v>
      </x:c>
      <x:c r="D338" s="192" t="str">
        <x:f>'Raw Data'!D338</x:f>
        <x:v>Delhi</x:v>
      </x:c>
      <x:c r="E338" s="192" t="str">
        <x:f>'Raw Data'!E338</x:f>
        <x:v>Desserts</x:v>
      </x:c>
      <x:c r="F338" s="192" t="str">
        <x:f>'Raw Data'!F338</x:f>
        <x:v>Gold User</x:v>
      </x:c>
      <x:c r="G338" s="192" t="str">
        <x:f>'Raw Data'!G338</x:f>
        <x:v>Gold User Customer 27</x:v>
      </x:c>
      <x:c r="H338" s="192" t="n">
        <x:f>'Raw Data'!H338</x:f>
        <x:v>185</x:v>
      </x:c>
      <x:c r="I338" s="195" t="n">
        <x:f>'Raw Data'!I338</x:f>
        <x:v>254</x:v>
      </x:c>
      <x:c r="J338" s="196" t="n">
        <x:f>'Raw Data'!J338</x:f>
        <x:v>0.03</x:v>
      </x:c>
      <x:c r="K338" s="195" t="n">
        <x:f>'Raw Data'!K338</x:f>
        <x:v>46990</x:v>
      </x:c>
      <x:c r="L338" s="195" t="n">
        <x:f>'Raw Data'!L338</x:f>
        <x:v>45580.299999999996</x:v>
      </x:c>
      <x:c r="M338" s="195" t="n">
        <x:f>'Raw Data'!M338</x:f>
        <x:v>31450.406999999996</x:v>
      </x:c>
      <x:c r="N338" s="195" t="n">
        <x:f>'Raw Data'!N338</x:f>
        <x:v>14129.893</x:v>
      </x:c>
      <x:c r="O338" s="195" t="n">
        <x:f>'Raw Data'!O338</x:f>
        <x:v>5925.438999999999</x:v>
      </x:c>
      <x:c r="P338" s="195" t="n">
        <x:f>'Raw Data'!P338</x:f>
        <x:v>8204.454000000002</x:v>
      </x:c>
      <x:c r="Q338" s="195" t="n">
        <x:f>'Raw Data'!Q338</x:f>
        <x:v>47538.002162384415</x:v>
      </x:c>
      <x:c r="R338" s="196" t="n">
        <x:f t="shared" si="15">IFERROR(N338/L338,0)</x:f>
        <x:v>0.31000000000000005</x:v>
      </x:c>
      <x:c r="S338" s="196" t="n">
        <x:f t="shared" si="16">IFERROR(P338/L338,0)</x:f>
        <x:v>0.18000000000000005</x:v>
      </x:c>
      <x:c r="T338" s="196" t="n">
        <x:f t="shared" si="17">IFERROR(L338/Q338,0)</x:f>
        <x:v>0.9588181649767878</x:v>
      </x:c>
    </x:row>
    <x:row r="339">
      <x:c r="A339" s="192" t="str">
        <x:f>'Raw Data'!A339</x:f>
        <x:v>ZOM-0335</x:v>
      </x:c>
      <x:c r="B339" s="193" t="n">
        <x:f>'Raw Data'!B339</x:f>
        <x:v>45992</x:v>
      </x:c>
      <x:c r="C339" s="236" t="str">
        <x:f>'Raw Data'!C339</x:f>
        <x:v>South</x:v>
      </x:c>
      <x:c r="D339" s="192" t="str">
        <x:f>'Raw Data'!D339</x:f>
        <x:v>Bengaluru</x:v>
      </x:c>
      <x:c r="E339" s="192" t="str">
        <x:f>'Raw Data'!E339</x:f>
        <x:v>Chinese</x:v>
      </x:c>
      <x:c r="F339" s="192" t="str">
        <x:f>'Raw Data'!F339</x:f>
        <x:v>Student</x:v>
      </x:c>
      <x:c r="G339" s="192" t="str">
        <x:f>'Raw Data'!G339</x:f>
        <x:v>Student Customer 37</x:v>
      </x:c>
      <x:c r="H339" s="192" t="n">
        <x:f>'Raw Data'!H339</x:f>
        <x:v>132</x:v>
      </x:c>
      <x:c r="I339" s="195" t="n">
        <x:f>'Raw Data'!I339</x:f>
        <x:v>423</x:v>
      </x:c>
      <x:c r="J339" s="196" t="n">
        <x:f>'Raw Data'!J339</x:f>
        <x:v>0.09999999999999999</x:v>
      </x:c>
      <x:c r="K339" s="195" t="n">
        <x:f>'Raw Data'!K339</x:f>
        <x:v>55836</x:v>
      </x:c>
      <x:c r="L339" s="195" t="n">
        <x:f>'Raw Data'!L339</x:f>
        <x:v>50252.4</x:v>
      </x:c>
      <x:c r="M339" s="195" t="n">
        <x:f>'Raw Data'!M339</x:f>
        <x:v>37186.776</x:v>
      </x:c>
      <x:c r="N339" s="195" t="n">
        <x:f>'Raw Data'!N339</x:f>
        <x:v>13065.624000000003</x:v>
      </x:c>
      <x:c r="O339" s="195" t="n">
        <x:f>'Raw Data'!O339</x:f>
        <x:v>6532.812000000001</x:v>
      </x:c>
      <x:c r="P339" s="195" t="n">
        <x:f>'Raw Data'!P339</x:f>
        <x:v>6532.812000000003</x:v>
      </x:c>
      <x:c r="Q339" s="195" t="n">
        <x:f>'Raw Data'!Q339</x:f>
        <x:v>50918.330236064336</x:v>
      </x:c>
      <x:c r="R339" s="196" t="n">
        <x:f t="shared" si="15">IFERROR(N339/L339,0)</x:f>
        <x:v>0.26000000000000006</x:v>
      </x:c>
      <x:c r="S339" s="196" t="n">
        <x:f t="shared" si="16">IFERROR(P339/L339,0)</x:f>
        <x:v>0.13000000000000006</x:v>
      </x:c>
      <x:c r="T339" s="196" t="n">
        <x:f t="shared" si="17">IFERROR(L339/Q339,0)</x:f>
        <x:v>0.9869216010623877</x:v>
      </x:c>
    </x:row>
    <x:row r="340">
      <x:c r="A340" s="192" t="str">
        <x:f>'Raw Data'!A340</x:f>
        <x:v>ZOM-0336</x:v>
      </x:c>
      <x:c r="B340" s="193" t="n">
        <x:f>'Raw Data'!B340</x:f>
        <x:v>45993</x:v>
      </x:c>
      <x:c r="C340" s="236" t="str">
        <x:f>'Raw Data'!C340</x:f>
        <x:v>East</x:v>
      </x:c>
      <x:c r="D340" s="192" t="str">
        <x:f>'Raw Data'!D340</x:f>
        <x:v>Bhubaneswar</x:v>
      </x:c>
      <x:c r="E340" s="192" t="str">
        <x:f>'Raw Data'!E340</x:f>
        <x:v>Snacks</x:v>
      </x:c>
      <x:c r="F340" s="192" t="str">
        <x:f>'Raw Data'!F340</x:f>
        <x:v>Budget</x:v>
      </x:c>
      <x:c r="G340" s="192" t="str">
        <x:f>'Raw Data'!G340</x:f>
        <x:v>Budget Customer 19</x:v>
      </x:c>
      <x:c r="H340" s="192" t="n">
        <x:f>'Raw Data'!H340</x:f>
        <x:v>71</x:v>
      </x:c>
      <x:c r="I340" s="195" t="n">
        <x:f>'Raw Data'!I340</x:f>
        <x:v>271</x:v>
      </x:c>
      <x:c r="J340" s="196" t="n">
        <x:f>'Raw Data'!J340</x:f>
        <x:v>0.08</x:v>
      </x:c>
      <x:c r="K340" s="195" t="n">
        <x:f>'Raw Data'!K340</x:f>
        <x:v>19241</x:v>
      </x:c>
      <x:c r="L340" s="195" t="n">
        <x:f>'Raw Data'!L340</x:f>
        <x:v>17701.72</x:v>
      </x:c>
      <x:c r="M340" s="195" t="n">
        <x:f>'Raw Data'!M340</x:f>
        <x:v>13099.2728</x:v>
      </x:c>
      <x:c r="N340" s="195" t="n">
        <x:f>'Raw Data'!N340</x:f>
        <x:v>4602.4472000000005</x:v>
      </x:c>
      <x:c r="O340" s="195" t="n">
        <x:f>'Raw Data'!O340</x:f>
        <x:v>2301.2236000000003</x:v>
      </x:c>
      <x:c r="P340" s="195" t="n">
        <x:f>'Raw Data'!P340</x:f>
        <x:v>2301.2236000000003</x:v>
      </x:c>
      <x:c r="Q340" s="195" t="n">
        <x:f>'Raw Data'!Q340</x:f>
        <x:v>18671.95389605319</x:v>
      </x:c>
      <x:c r="R340" s="196" t="n">
        <x:f t="shared" si="15">IFERROR(N340/L340,0)</x:f>
        <x:v>0.26</x:v>
      </x:c>
      <x:c r="S340" s="196" t="n">
        <x:f t="shared" si="16">IFERROR(P340/L340,0)</x:f>
        <x:v>0.13</x:v>
      </x:c>
      <x:c r="T340" s="196" t="n">
        <x:f t="shared" si="17">IFERROR(L340/Q340,0)</x:f>
        <x:v>0.9480379021148787</x:v>
      </x:c>
    </x:row>
    <x:row r="341">
      <x:c r="A341" s="192" t="str">
        <x:f>'Raw Data'!A341</x:f>
        <x:v>ZOM-0337</x:v>
      </x:c>
      <x:c r="B341" s="193" t="n">
        <x:f>'Raw Data'!B341</x:f>
        <x:v>45994</x:v>
      </x:c>
      <x:c r="C341" s="236" t="str">
        <x:f>'Raw Data'!C341</x:f>
        <x:v>South</x:v>
      </x:c>
      <x:c r="D341" s="192" t="str">
        <x:f>'Raw Data'!D341</x:f>
        <x:v>Bengaluru</x:v>
      </x:c>
      <x:c r="E341" s="192" t="str">
        <x:f>'Raw Data'!E341</x:f>
        <x:v>North Indian</x:v>
      </x:c>
      <x:c r="F341" s="192" t="str">
        <x:f>'Raw Data'!F341</x:f>
        <x:v>New User</x:v>
      </x:c>
      <x:c r="G341" s="192" t="str">
        <x:f>'Raw Data'!G341</x:f>
        <x:v>New User Customer 07</x:v>
      </x:c>
      <x:c r="H341" s="192" t="n">
        <x:f>'Raw Data'!H341</x:f>
        <x:v>92</x:v>
      </x:c>
      <x:c r="I341" s="195" t="n">
        <x:f>'Raw Data'!I341</x:f>
        <x:v>617</x:v>
      </x:c>
      <x:c r="J341" s="196" t="n">
        <x:f>'Raw Data'!J341</x:f>
        <x:v>0.08</x:v>
      </x:c>
      <x:c r="K341" s="195" t="n">
        <x:f>'Raw Data'!K341</x:f>
        <x:v>56764</x:v>
      </x:c>
      <x:c r="L341" s="195" t="n">
        <x:f>'Raw Data'!L341</x:f>
        <x:v>52222.880000000005</x:v>
      </x:c>
      <x:c r="M341" s="195" t="n">
        <x:f>'Raw Data'!M341</x:f>
        <x:v>38122.7024</x:v>
      </x:c>
      <x:c r="N341" s="195" t="n">
        <x:f>'Raw Data'!N341</x:f>
        <x:v>14100.177600000003</x:v>
      </x:c>
      <x:c r="O341" s="195" t="n">
        <x:f>'Raw Data'!O341</x:f>
        <x:v>6788.974400000001</x:v>
      </x:c>
      <x:c r="P341" s="195" t="n">
        <x:f>'Raw Data'!P341</x:f>
        <x:v>7311.203200000002</x:v>
      </x:c>
      <x:c r="Q341" s="195" t="n">
        <x:f>'Raw Data'!Q341</x:f>
        <x:v>56851.123522403774</x:v>
      </x:c>
      <x:c r="R341" s="196" t="n">
        <x:f t="shared" si="15">IFERROR(N341/L341,0)</x:f>
        <x:v>0.27</x:v>
      </x:c>
      <x:c r="S341" s="196" t="n">
        <x:f t="shared" si="16">IFERROR(P341/L341,0)</x:f>
        <x:v>0.14</x:v>
      </x:c>
      <x:c r="T341" s="196" t="n">
        <x:f t="shared" si="17">IFERROR(L341/Q341,0)</x:f>
        <x:v>0.918590113340858</x:v>
      </x:c>
    </x:row>
    <x:row r="342">
      <x:c r="A342" s="192" t="str">
        <x:f>'Raw Data'!A342</x:f>
        <x:v>ZOM-0338</x:v>
      </x:c>
      <x:c r="B342" s="193" t="n">
        <x:f>'Raw Data'!B342</x:f>
        <x:v>45995</x:v>
      </x:c>
      <x:c r="C342" s="236" t="str">
        <x:f>'Raw Data'!C342</x:f>
        <x:v>Metro</x:v>
      </x:c>
      <x:c r="D342" s="192" t="str">
        <x:f>'Raw Data'!D342</x:f>
        <x:v>Delhi</x:v>
      </x:c>
      <x:c r="E342" s="192" t="str">
        <x:f>'Raw Data'!E342</x:f>
        <x:v>North Indian</x:v>
      </x:c>
      <x:c r="F342" s="192" t="str">
        <x:f>'Raw Data'!F342</x:f>
        <x:v>New User</x:v>
      </x:c>
      <x:c r="G342" s="192" t="str">
        <x:f>'Raw Data'!G342</x:f>
        <x:v>New User Customer 24</x:v>
      </x:c>
      <x:c r="H342" s="192" t="n">
        <x:f>'Raw Data'!H342</x:f>
        <x:v>120</x:v>
      </x:c>
      <x:c r="I342" s="195" t="n">
        <x:f>'Raw Data'!I342</x:f>
        <x:v>500</x:v>
      </x:c>
      <x:c r="J342" s="196" t="n">
        <x:f>'Raw Data'!J342</x:f>
        <x:v>0.09</x:v>
      </x:c>
      <x:c r="K342" s="195" t="n">
        <x:f>'Raw Data'!K342</x:f>
        <x:v>60000</x:v>
      </x:c>
      <x:c r="L342" s="195" t="n">
        <x:f>'Raw Data'!L342</x:f>
        <x:v>54600</x:v>
      </x:c>
      <x:c r="M342" s="195" t="n">
        <x:f>'Raw Data'!M342</x:f>
        <x:v>39858</x:v>
      </x:c>
      <x:c r="N342" s="195" t="n">
        <x:f>'Raw Data'!N342</x:f>
        <x:v>14742</x:v>
      </x:c>
      <x:c r="O342" s="195" t="n">
        <x:f>'Raw Data'!O342</x:f>
        <x:v>7098</x:v>
      </x:c>
      <x:c r="P342" s="195" t="n">
        <x:f>'Raw Data'!P342</x:f>
        <x:v>7644</x:v>
      </x:c>
      <x:c r="Q342" s="195" t="n">
        <x:f>'Raw Data'!Q342</x:f>
        <x:v>59403.06117785736</x:v>
      </x:c>
      <x:c r="R342" s="196" t="n">
        <x:f t="shared" si="15">IFERROR(N342/L342,0)</x:f>
        <x:v>0.27</x:v>
      </x:c>
      <x:c r="S342" s="196" t="n">
        <x:f t="shared" si="16">IFERROR(P342/L342,0)</x:f>
        <x:v>0.14</x:v>
      </x:c>
      <x:c r="T342" s="196" t="n">
        <x:f t="shared" si="17">IFERROR(L342/Q342,0)</x:f>
        <x:v>0.9191445510951596</x:v>
      </x:c>
    </x:row>
    <x:row r="343">
      <x:c r="A343" s="192" t="str">
        <x:f>'Raw Data'!A343</x:f>
        <x:v>ZOM-0339</x:v>
      </x:c>
      <x:c r="B343" s="193" t="n">
        <x:f>'Raw Data'!B343</x:f>
        <x:v>45996</x:v>
      </x:c>
      <x:c r="C343" s="236" t="str">
        <x:f>'Raw Data'!C343</x:f>
        <x:v>Central</x:v>
      </x:c>
      <x:c r="D343" s="192" t="str">
        <x:f>'Raw Data'!D343</x:f>
        <x:v>Indore</x:v>
      </x:c>
      <x:c r="E343" s="192" t="str">
        <x:f>'Raw Data'!E343</x:f>
        <x:v>North Indian</x:v>
      </x:c>
      <x:c r="F343" s="192" t="str">
        <x:f>'Raw Data'!F343</x:f>
        <x:v>Repeat User</x:v>
      </x:c>
      <x:c r="G343" s="192" t="str">
        <x:f>'Raw Data'!G343</x:f>
        <x:v>Repeat User Customer 57</x:v>
      </x:c>
      <x:c r="H343" s="192" t="n">
        <x:f>'Raw Data'!H343</x:f>
        <x:v>136</x:v>
      </x:c>
      <x:c r="I343" s="195" t="n">
        <x:f>'Raw Data'!I343</x:f>
        <x:v>487</x:v>
      </x:c>
      <x:c r="J343" s="196" t="n">
        <x:f>'Raw Data'!J343</x:f>
        <x:v>0.060000000000000005</x:v>
      </x:c>
      <x:c r="K343" s="195" t="n">
        <x:f>'Raw Data'!K343</x:f>
        <x:v>66232</x:v>
      </x:c>
      <x:c r="L343" s="195" t="n">
        <x:f>'Raw Data'!L343</x:f>
        <x:v>62258.079999999994</x:v>
      </x:c>
      <x:c r="M343" s="195" t="n">
        <x:f>'Raw Data'!M343</x:f>
        <x:v>45448.3984</x:v>
      </x:c>
      <x:c r="N343" s="195" t="n">
        <x:f>'Raw Data'!N343</x:f>
        <x:v>16809.681599999996</x:v>
      </x:c>
      <x:c r="O343" s="195" t="n">
        <x:f>'Raw Data'!O343</x:f>
        <x:v>8093.550399999999</x:v>
      </x:c>
      <x:c r="P343" s="195" t="n">
        <x:f>'Raw Data'!P343</x:f>
        <x:v>8716.131199999996</x:v>
      </x:c>
      <x:c r="Q343" s="195" t="n">
        <x:f>'Raw Data'!Q343</x:f>
        <x:v>65408.885385535425</x:v>
      </x:c>
      <x:c r="R343" s="196" t="n">
        <x:f t="shared" si="15">IFERROR(N343/L343,0)</x:f>
        <x:v>0.26999999999999996</x:v>
      </x:c>
      <x:c r="S343" s="196" t="n">
        <x:f t="shared" si="16">IFERROR(P343/L343,0)</x:f>
        <x:v>0.13999999999999996</x:v>
      </x:c>
      <x:c r="T343" s="196" t="n">
        <x:f t="shared" si="17">IFERROR(L343/Q343,0)</x:f>
        <x:v>0.9518290922255618</x:v>
      </x:c>
    </x:row>
    <x:row r="344">
      <x:c r="A344" s="192" t="str">
        <x:f>'Raw Data'!A344</x:f>
        <x:v>ZOM-0340</x:v>
      </x:c>
      <x:c r="B344" s="193" t="n">
        <x:f>'Raw Data'!B344</x:f>
        <x:v>45997</x:v>
      </x:c>
      <x:c r="C344" s="236" t="str">
        <x:f>'Raw Data'!C344</x:f>
        <x:v>Central</x:v>
      </x:c>
      <x:c r="D344" s="192" t="str">
        <x:f>'Raw Data'!D344</x:f>
        <x:v>Bhopal</x:v>
      </x:c>
      <x:c r="E344" s="192" t="str">
        <x:f>'Raw Data'!E344</x:f>
        <x:v>North Indian</x:v>
      </x:c>
      <x:c r="F344" s="192" t="str">
        <x:f>'Raw Data'!F344</x:f>
        <x:v>Budget</x:v>
      </x:c>
      <x:c r="G344" s="192" t="str">
        <x:f>'Raw Data'!G344</x:f>
        <x:v>Budget Customer 25</x:v>
      </x:c>
      <x:c r="H344" s="192" t="n">
        <x:f>'Raw Data'!H344</x:f>
        <x:v>77</x:v>
      </x:c>
      <x:c r="I344" s="195" t="n">
        <x:f>'Raw Data'!I344</x:f>
        <x:v>450</x:v>
      </x:c>
      <x:c r="J344" s="196" t="n">
        <x:f>'Raw Data'!J344</x:f>
        <x:v>0.11</x:v>
      </x:c>
      <x:c r="K344" s="195" t="n">
        <x:f>'Raw Data'!K344</x:f>
        <x:v>34650</x:v>
      </x:c>
      <x:c r="L344" s="195" t="n">
        <x:f>'Raw Data'!L344</x:f>
        <x:v>30838.5</x:v>
      </x:c>
      <x:c r="M344" s="195" t="n">
        <x:f>'Raw Data'!M344</x:f>
        <x:v>22512.105</x:v>
      </x:c>
      <x:c r="N344" s="195" t="n">
        <x:f>'Raw Data'!N344</x:f>
        <x:v>8326.395</x:v>
      </x:c>
      <x:c r="O344" s="195" t="n">
        <x:f>'Raw Data'!O344</x:f>
        <x:v>4009.005</x:v>
      </x:c>
      <x:c r="P344" s="195" t="n">
        <x:f>'Raw Data'!P344</x:f>
        <x:v>4317.39</x:v>
      </x:c>
      <x:c r="Q344" s="195" t="n">
        <x:f>'Raw Data'!Q344</x:f>
        <x:v>31509.27645553555</x:v>
      </x:c>
      <x:c r="R344" s="196" t="n">
        <x:f t="shared" si="15">IFERROR(N344/L344,0)</x:f>
        <x:v>0.27</x:v>
      </x:c>
      <x:c r="S344" s="196" t="n">
        <x:f t="shared" si="16">IFERROR(P344/L344,0)</x:f>
        <x:v>0.14</x:v>
      </x:c>
      <x:c r="T344" s="196" t="n">
        <x:f t="shared" si="17">IFERROR(L344/Q344,0)</x:f>
        <x:v>0.9787117785302967</x:v>
      </x:c>
    </x:row>
    <x:row r="345">
      <x:c r="A345" s="192" t="str">
        <x:f>'Raw Data'!A345</x:f>
        <x:v>ZOM-0341</x:v>
      </x:c>
      <x:c r="B345" s="193" t="n">
        <x:f>'Raw Data'!B345</x:f>
        <x:v>45998</x:v>
      </x:c>
      <x:c r="C345" s="236" t="str">
        <x:f>'Raw Data'!C345</x:f>
        <x:v>Central</x:v>
      </x:c>
      <x:c r="D345" s="192" t="str">
        <x:f>'Raw Data'!D345</x:f>
        <x:v>Varanasi</x:v>
      </x:c>
      <x:c r="E345" s="192" t="str">
        <x:f>'Raw Data'!E345</x:f>
        <x:v>North Indian</x:v>
      </x:c>
      <x:c r="F345" s="192" t="str">
        <x:f>'Raw Data'!F345</x:f>
        <x:v>Budget</x:v>
      </x:c>
      <x:c r="G345" s="192" t="str">
        <x:f>'Raw Data'!G345</x:f>
        <x:v>Budget Customer 17</x:v>
      </x:c>
      <x:c r="H345" s="192" t="n">
        <x:f>'Raw Data'!H345</x:f>
        <x:v>74</x:v>
      </x:c>
      <x:c r="I345" s="195" t="n">
        <x:f>'Raw Data'!I345</x:f>
        <x:v>534</x:v>
      </x:c>
      <x:c r="J345" s="196" t="n">
        <x:f>'Raw Data'!J345</x:f>
        <x:v>0.11</x:v>
      </x:c>
      <x:c r="K345" s="195" t="n">
        <x:f>'Raw Data'!K345</x:f>
        <x:v>39516</x:v>
      </x:c>
      <x:c r="L345" s="195" t="n">
        <x:f>'Raw Data'!L345</x:f>
        <x:v>35169.24</x:v>
      </x:c>
      <x:c r="M345" s="195" t="n">
        <x:f>'Raw Data'!M345</x:f>
        <x:v>25673.545199999997</x:v>
      </x:c>
      <x:c r="N345" s="195" t="n">
        <x:f>'Raw Data'!N345</x:f>
        <x:v>9495.694800000001</x:v>
      </x:c>
      <x:c r="O345" s="195" t="n">
        <x:f>'Raw Data'!O345</x:f>
        <x:v>4572.0012</x:v>
      </x:c>
      <x:c r="P345" s="195" t="n">
        <x:f>'Raw Data'!P345</x:f>
        <x:v>4923.693600000001</x:v>
      </x:c>
      <x:c r="Q345" s="195" t="n">
        <x:f>'Raw Data'!Q345</x:f>
        <x:v>35363.25740935628</x:v>
      </x:c>
      <x:c r="R345" s="196" t="n">
        <x:f t="shared" si="15">IFERROR(N345/L345,0)</x:f>
        <x:v>0.2700000000000001</x:v>
      </x:c>
      <x:c r="S345" s="196" t="n">
        <x:f t="shared" si="16">IFERROR(P345/L345,0)</x:f>
        <x:v>0.14000000000000004</x:v>
      </x:c>
      <x:c r="T345" s="196" t="n">
        <x:f t="shared" si="17">IFERROR(L345/Q345,0)</x:f>
        <x:v>0.9945135877300446</x:v>
      </x:c>
    </x:row>
    <x:row r="346">
      <x:c r="A346" s="192" t="str">
        <x:f>'Raw Data'!A346</x:f>
        <x:v>ZOM-0342</x:v>
      </x:c>
      <x:c r="B346" s="193" t="n">
        <x:f>'Raw Data'!B346</x:f>
        <x:v>45999</x:v>
      </x:c>
      <x:c r="C346" s="236" t="str">
        <x:f>'Raw Data'!C346</x:f>
        <x:v>East</x:v>
      </x:c>
      <x:c r="D346" s="192" t="str">
        <x:f>'Raw Data'!D346</x:f>
        <x:v>Kolkata</x:v>
      </x:c>
      <x:c r="E346" s="192" t="str">
        <x:f>'Raw Data'!E346</x:f>
        <x:v>Desserts</x:v>
      </x:c>
      <x:c r="F346" s="192" t="str">
        <x:f>'Raw Data'!F346</x:f>
        <x:v>Budget</x:v>
      </x:c>
      <x:c r="G346" s="192" t="str">
        <x:f>'Raw Data'!G346</x:f>
        <x:v>Budget Customer 34</x:v>
      </x:c>
      <x:c r="H346" s="192" t="n">
        <x:f>'Raw Data'!H346</x:f>
        <x:v>129</x:v>
      </x:c>
      <x:c r="I346" s="195" t="n">
        <x:f>'Raw Data'!I346</x:f>
        <x:v>317</x:v>
      </x:c>
      <x:c r="J346" s="196" t="n">
        <x:f>'Raw Data'!J346</x:f>
        <x:v>0.1</x:v>
      </x:c>
      <x:c r="K346" s="195" t="n">
        <x:f>'Raw Data'!K346</x:f>
        <x:v>40893</x:v>
      </x:c>
      <x:c r="L346" s="195" t="n">
        <x:f>'Raw Data'!L346</x:f>
        <x:v>36803.700000000004</x:v>
      </x:c>
      <x:c r="M346" s="195" t="n">
        <x:f>'Raw Data'!M346</x:f>
        <x:v>25394.553</x:v>
      </x:c>
      <x:c r="N346" s="195" t="n">
        <x:f>'Raw Data'!N346</x:f>
        <x:v>11409.147000000004</x:v>
      </x:c>
      <x:c r="O346" s="195" t="n">
        <x:f>'Raw Data'!O346</x:f>
        <x:v>4784.481000000001</x:v>
      </x:c>
      <x:c r="P346" s="195" t="n">
        <x:f>'Raw Data'!P346</x:f>
        <x:v>6624.666000000004</x:v>
      </x:c>
      <x:c r="Q346" s="195" t="n">
        <x:f>'Raw Data'!Q346</x:f>
        <x:v>38297.785839534314</x:v>
      </x:c>
      <x:c r="R346" s="196" t="n">
        <x:f t="shared" si="15">IFERROR(N346/L346,0)</x:f>
        <x:v>0.3100000000000001</x:v>
      </x:c>
      <x:c r="S346" s="196" t="n">
        <x:f t="shared" si="16">IFERROR(P346/L346,0)</x:f>
        <x:v>0.18000000000000008</x:v>
      </x:c>
      <x:c r="T346" s="196" t="n">
        <x:f t="shared" si="17">IFERROR(L346/Q346,0)</x:f>
        <x:v>0.9609876705197933</x:v>
      </x:c>
    </x:row>
    <x:row r="347">
      <x:c r="A347" s="192" t="str">
        <x:f>'Raw Data'!A347</x:f>
        <x:v>ZOM-0343</x:v>
      </x:c>
      <x:c r="B347" s="193" t="n">
        <x:f>'Raw Data'!B347</x:f>
        <x:v>46000</x:v>
      </x:c>
      <x:c r="C347" s="236" t="str">
        <x:f>'Raw Data'!C347</x:f>
        <x:v>East</x:v>
      </x:c>
      <x:c r="D347" s="192" t="str">
        <x:f>'Raw Data'!D347</x:f>
        <x:v>Guwahati</x:v>
      </x:c>
      <x:c r="E347" s="192" t="str">
        <x:f>'Raw Data'!E347</x:f>
        <x:v>North Indian</x:v>
      </x:c>
      <x:c r="F347" s="192" t="str">
        <x:f>'Raw Data'!F347</x:f>
        <x:v>Budget</x:v>
      </x:c>
      <x:c r="G347" s="192" t="str">
        <x:f>'Raw Data'!G347</x:f>
        <x:v>Budget Customer 40</x:v>
      </x:c>
      <x:c r="H347" s="192" t="n">
        <x:f>'Raw Data'!H347</x:f>
        <x:v>91</x:v>
      </x:c>
      <x:c r="I347" s="195" t="n">
        <x:f>'Raw Data'!I347</x:f>
        <x:v>534</x:v>
      </x:c>
      <x:c r="J347" s="196" t="n">
        <x:f>'Raw Data'!J347</x:f>
        <x:v>0.11</x:v>
      </x:c>
      <x:c r="K347" s="195" t="n">
        <x:f>'Raw Data'!K347</x:f>
        <x:v>48594</x:v>
      </x:c>
      <x:c r="L347" s="195" t="n">
        <x:f>'Raw Data'!L347</x:f>
        <x:v>43248.66</x:v>
      </x:c>
      <x:c r="M347" s="195" t="n">
        <x:f>'Raw Data'!M347</x:f>
        <x:v>31571.521800000002</x:v>
      </x:c>
      <x:c r="N347" s="195" t="n">
        <x:f>'Raw Data'!N347</x:f>
        <x:v>11677.138200000001</x:v>
      </x:c>
      <x:c r="O347" s="195" t="n">
        <x:f>'Raw Data'!O347</x:f>
        <x:v>5622.3258000000005</x:v>
      </x:c>
      <x:c r="P347" s="195" t="n">
        <x:f>'Raw Data'!P347</x:f>
        <x:v>6054.812400000001</x:v>
      </x:c>
      <x:c r="Q347" s="195" t="n">
        <x:f>'Raw Data'!Q347</x:f>
        <x:v>47878.31772210945</x:v>
      </x:c>
      <x:c r="R347" s="196" t="n">
        <x:f t="shared" si="15">IFERROR(N347/L347,0)</x:f>
        <x:v>0.27</x:v>
      </x:c>
      <x:c r="S347" s="196" t="n">
        <x:f t="shared" si="16">IFERROR(P347/L347,0)</x:f>
        <x:v>0.14</x:v>
      </x:c>
      <x:c r="T347" s="196" t="n">
        <x:f t="shared" si="17">IFERROR(L347/Q347,0)</x:f>
        <x:v>0.903303667664757</x:v>
      </x:c>
    </x:row>
    <x:row r="348">
      <x:c r="A348" s="192" t="str">
        <x:f>'Raw Data'!A348</x:f>
        <x:v>ZOM-0344</x:v>
      </x:c>
      <x:c r="B348" s="193" t="n">
        <x:f>'Raw Data'!B348</x:f>
        <x:v>46001</x:v>
      </x:c>
      <x:c r="C348" s="236" t="str">
        <x:f>'Raw Data'!C348</x:f>
        <x:v>North</x:v>
      </x:c>
      <x:c r="D348" s="192" t="str">
        <x:f>'Raw Data'!D348</x:f>
        <x:v>Noida</x:v>
      </x:c>
      <x:c r="E348" s="192" t="str">
        <x:f>'Raw Data'!E348</x:f>
        <x:v>Chinese</x:v>
      </x:c>
      <x:c r="F348" s="192" t="str">
        <x:f>'Raw Data'!F348</x:f>
        <x:v>Gold User</x:v>
      </x:c>
      <x:c r="G348" s="192" t="str">
        <x:f>'Raw Data'!G348</x:f>
        <x:v>Gold User Customer 18</x:v>
      </x:c>
      <x:c r="H348" s="192" t="n">
        <x:f>'Raw Data'!H348</x:f>
        <x:v>182</x:v>
      </x:c>
      <x:c r="I348" s="195" t="n">
        <x:f>'Raw Data'!I348</x:f>
        <x:v>525</x:v>
      </x:c>
      <x:c r="J348" s="196" t="n">
        <x:f>'Raw Data'!J348</x:f>
        <x:v>0.009999999999999998</x:v>
      </x:c>
      <x:c r="K348" s="195" t="n">
        <x:f>'Raw Data'!K348</x:f>
        <x:v>95550</x:v>
      </x:c>
      <x:c r="L348" s="195" t="n">
        <x:f>'Raw Data'!L348</x:f>
        <x:v>94594.5</x:v>
      </x:c>
      <x:c r="M348" s="195" t="n">
        <x:f>'Raw Data'!M348</x:f>
        <x:v>69999.93</x:v>
      </x:c>
      <x:c r="N348" s="195" t="n">
        <x:f>'Raw Data'!N348</x:f>
        <x:v>24594.570000000007</x:v>
      </x:c>
      <x:c r="O348" s="195" t="n">
        <x:f>'Raw Data'!O348</x:f>
        <x:v>12297.285</x:v>
      </x:c>
      <x:c r="P348" s="195" t="n">
        <x:f>'Raw Data'!P348</x:f>
        <x:v>12297.285000000007</x:v>
      </x:c>
      <x:c r="Q348" s="195" t="n">
        <x:f>'Raw Data'!Q348</x:f>
        <x:v>98350.5998617073</x:v>
      </x:c>
      <x:c r="R348" s="196" t="n">
        <x:f t="shared" si="15">IFERROR(N348/L348,0)</x:f>
        <x:v>0.26000000000000006</x:v>
      </x:c>
      <x:c r="S348" s="196" t="n">
        <x:f t="shared" si="16">IFERROR(P348/L348,0)</x:f>
        <x:v>0.1300000000000001</x:v>
      </x:c>
      <x:c r="T348" s="196" t="n">
        <x:f t="shared" si="17">IFERROR(L348/Q348,0)</x:f>
        <x:v>0.9618090803005896</x:v>
      </x:c>
    </x:row>
    <x:row r="349">
      <x:c r="A349" s="192" t="str">
        <x:f>'Raw Data'!A349</x:f>
        <x:v>ZOM-0345</x:v>
      </x:c>
      <x:c r="B349" s="193" t="n">
        <x:f>'Raw Data'!B349</x:f>
        <x:v>46002</x:v>
      </x:c>
      <x:c r="C349" s="236" t="str">
        <x:f>'Raw Data'!C349</x:f>
        <x:v>North</x:v>
      </x:c>
      <x:c r="D349" s="192" t="str">
        <x:f>'Raw Data'!D349</x:f>
        <x:v>Noida</x:v>
      </x:c>
      <x:c r="E349" s="192" t="str">
        <x:f>'Raw Data'!E349</x:f>
        <x:v>Chinese</x:v>
      </x:c>
      <x:c r="F349" s="192" t="str">
        <x:f>'Raw Data'!F349</x:f>
        <x:v>Repeat User</x:v>
      </x:c>
      <x:c r="G349" s="192" t="str">
        <x:f>'Raw Data'!G349</x:f>
        <x:v>Repeat User Customer 29</x:v>
      </x:c>
      <x:c r="H349" s="192" t="n">
        <x:f>'Raw Data'!H349</x:f>
        <x:v>123</x:v>
      </x:c>
      <x:c r="I349" s="195" t="n">
        <x:f>'Raw Data'!I349</x:f>
        <x:v>376</x:v>
      </x:c>
      <x:c r="J349" s="196" t="n">
        <x:f>'Raw Data'!J349</x:f>
        <x:v>0.060000000000000005</x:v>
      </x:c>
      <x:c r="K349" s="195" t="n">
        <x:f>'Raw Data'!K349</x:f>
        <x:v>46248</x:v>
      </x:c>
      <x:c r="L349" s="195" t="n">
        <x:f>'Raw Data'!L349</x:f>
        <x:v>43473.119999999995</x:v>
      </x:c>
      <x:c r="M349" s="195" t="n">
        <x:f>'Raw Data'!M349</x:f>
        <x:v>32170.108799999995</x:v>
      </x:c>
      <x:c r="N349" s="195" t="n">
        <x:f>'Raw Data'!N349</x:f>
        <x:v>11303.0112</x:v>
      </x:c>
      <x:c r="O349" s="195" t="n">
        <x:f>'Raw Data'!O349</x:f>
        <x:v>5651.5055999999995</x:v>
      </x:c>
      <x:c r="P349" s="195" t="n">
        <x:f>'Raw Data'!P349</x:f>
        <x:v>5651.505600000001</x:v>
      </x:c>
      <x:c r="Q349" s="195" t="n">
        <x:f>'Raw Data'!Q349</x:f>
        <x:v>47941.75273600774</x:v>
      </x:c>
      <x:c r="R349" s="196" t="n">
        <x:f t="shared" si="15">IFERROR(N349/L349,0)</x:f>
        <x:v>0.26000000000000006</x:v>
      </x:c>
      <x:c r="S349" s="196" t="n">
        <x:f t="shared" si="16">IFERROR(P349/L349,0)</x:f>
        <x:v>0.13000000000000003</x:v>
      </x:c>
      <x:c r="T349" s="196" t="n">
        <x:f t="shared" si="17">IFERROR(L349/Q349,0)</x:f>
        <x:v>0.9067903762172743</x:v>
      </x:c>
    </x:row>
    <x:row r="350">
      <x:c r="A350" s="192" t="str">
        <x:f>'Raw Data'!A350</x:f>
        <x:v>ZOM-0346</x:v>
      </x:c>
      <x:c r="B350" s="193" t="n">
        <x:f>'Raw Data'!B350</x:f>
        <x:v>46003</x:v>
      </x:c>
      <x:c r="C350" s="236" t="str">
        <x:f>'Raw Data'!C350</x:f>
        <x:v>South</x:v>
      </x:c>
      <x:c r="D350" s="192" t="str">
        <x:f>'Raw Data'!D350</x:f>
        <x:v>Kochi</x:v>
      </x:c>
      <x:c r="E350" s="192" t="str">
        <x:f>'Raw Data'!E350</x:f>
        <x:v>Desserts</x:v>
      </x:c>
      <x:c r="F350" s="192" t="str">
        <x:f>'Raw Data'!F350</x:f>
        <x:v>New User</x:v>
      </x:c>
      <x:c r="G350" s="192" t="str">
        <x:f>'Raw Data'!G350</x:f>
        <x:v>New User Customer 41</x:v>
      </x:c>
      <x:c r="H350" s="192" t="n">
        <x:f>'Raw Data'!H350</x:f>
        <x:v>148</x:v>
      </x:c>
      <x:c r="I350" s="195" t="n">
        <x:f>'Raw Data'!I350</x:f>
        <x:v>279</x:v>
      </x:c>
      <x:c r="J350" s="196" t="n">
        <x:f>'Raw Data'!J350</x:f>
        <x:v>0.06</x:v>
      </x:c>
      <x:c r="K350" s="195" t="n">
        <x:f>'Raw Data'!K350</x:f>
        <x:v>41292</x:v>
      </x:c>
      <x:c r="L350" s="195" t="n">
        <x:f>'Raw Data'!L350</x:f>
        <x:v>38814.479999999996</x:v>
      </x:c>
      <x:c r="M350" s="195" t="n">
        <x:f>'Raw Data'!M350</x:f>
        <x:v>26781.991199999997</x:v>
      </x:c>
      <x:c r="N350" s="195" t="n">
        <x:f>'Raw Data'!N350</x:f>
        <x:v>12032.4888</x:v>
      </x:c>
      <x:c r="O350" s="195" t="n">
        <x:f>'Raw Data'!O350</x:f>
        <x:v>5045.8823999999995</x:v>
      </x:c>
      <x:c r="P350" s="195" t="n">
        <x:f>'Raw Data'!P350</x:f>
        <x:v>6986.6064</x:v>
      </x:c>
      <x:c r="Q350" s="195" t="n">
        <x:f>'Raw Data'!Q350</x:f>
        <x:v>43300.678938352714</x:v>
      </x:c>
      <x:c r="R350" s="196" t="n">
        <x:f t="shared" si="15">IFERROR(N350/L350,0)</x:f>
        <x:v>0.31</x:v>
      </x:c>
      <x:c r="S350" s="196" t="n">
        <x:f t="shared" si="16">IFERROR(P350/L350,0)</x:f>
        <x:v>0.18000000000000002</x:v>
      </x:c>
      <x:c r="T350" s="196" t="n">
        <x:f t="shared" si="17">IFERROR(L350/Q350,0)</x:f>
        <x:v>0.8963942587426924</x:v>
      </x:c>
    </x:row>
    <x:row r="351">
      <x:c r="A351" s="192" t="str">
        <x:f>'Raw Data'!A351</x:f>
        <x:v>ZOM-0347</x:v>
      </x:c>
      <x:c r="B351" s="193" t="n">
        <x:f>'Raw Data'!B351</x:f>
        <x:v>46004</x:v>
      </x:c>
      <x:c r="C351" s="236" t="str">
        <x:f>'Raw Data'!C351</x:f>
        <x:v>South</x:v>
      </x:c>
      <x:c r="D351" s="192" t="str">
        <x:f>'Raw Data'!D351</x:f>
        <x:v>Coimbatore</x:v>
      </x:c>
      <x:c r="E351" s="192" t="str">
        <x:f>'Raw Data'!E351</x:f>
        <x:v>Chinese</x:v>
      </x:c>
      <x:c r="F351" s="192" t="str">
        <x:f>'Raw Data'!F351</x:f>
        <x:v>Corporate</x:v>
      </x:c>
      <x:c r="G351" s="192" t="str">
        <x:f>'Raw Data'!G351</x:f>
        <x:v>Corporate Customer 22</x:v>
      </x:c>
      <x:c r="H351" s="192" t="n">
        <x:f>'Raw Data'!H351</x:f>
        <x:v>192</x:v>
      </x:c>
      <x:c r="I351" s="195" t="n">
        <x:f>'Raw Data'!I351</x:f>
        <x:v>541</x:v>
      </x:c>
      <x:c r="J351" s="196" t="n">
        <x:f>'Raw Data'!J351</x:f>
        <x:v>0.02</x:v>
      </x:c>
      <x:c r="K351" s="195" t="n">
        <x:f>'Raw Data'!K351</x:f>
        <x:v>103872</x:v>
      </x:c>
      <x:c r="L351" s="195" t="n">
        <x:f>'Raw Data'!L351</x:f>
        <x:v>101794.56</x:v>
      </x:c>
      <x:c r="M351" s="195" t="n">
        <x:f>'Raw Data'!M351</x:f>
        <x:v>75327.97439999999</x:v>
      </x:c>
      <x:c r="N351" s="195" t="n">
        <x:f>'Raw Data'!N351</x:f>
        <x:v>26466.585600000006</x:v>
      </x:c>
      <x:c r="O351" s="195" t="n">
        <x:f>'Raw Data'!O351</x:f>
        <x:v>13233.2928</x:v>
      </x:c>
      <x:c r="P351" s="195" t="n">
        <x:f>'Raw Data'!P351</x:f>
        <x:v>13233.292800000007</x:v>
      </x:c>
      <x:c r="Q351" s="195" t="n">
        <x:f>'Raw Data'!Q351</x:f>
        <x:v>112108.19067178098</x:v>
      </x:c>
      <x:c r="R351" s="196" t="n">
        <x:f t="shared" si="15">IFERROR(N351/L351,0)</x:f>
        <x:v>0.26000000000000006</x:v>
      </x:c>
      <x:c r="S351" s="196" t="n">
        <x:f t="shared" si="16">IFERROR(P351/L351,0)</x:f>
        <x:v>0.13000000000000006</x:v>
      </x:c>
      <x:c r="T351" s="196" t="n">
        <x:f t="shared" si="17">IFERROR(L351/Q351,0)</x:f>
        <x:v>0.908002879986029</x:v>
      </x:c>
    </x:row>
    <x:row r="352">
      <x:c r="A352" s="192" t="str">
        <x:f>'Raw Data'!A352</x:f>
        <x:v>ZOM-0348</x:v>
      </x:c>
      <x:c r="B352" s="193" t="n">
        <x:f>'Raw Data'!B352</x:f>
        <x:v>46005</x:v>
      </x:c>
      <x:c r="C352" s="236" t="str">
        <x:f>'Raw Data'!C352</x:f>
        <x:v>West</x:v>
      </x:c>
      <x:c r="D352" s="192" t="str">
        <x:f>'Raw Data'!D352</x:f>
        <x:v>Nagpur</x:v>
      </x:c>
      <x:c r="E352" s="192" t="str">
        <x:f>'Raw Data'!E352</x:f>
        <x:v>Chinese</x:v>
      </x:c>
      <x:c r="F352" s="192" t="str">
        <x:f>'Raw Data'!F352</x:f>
        <x:v>Budget</x:v>
      </x:c>
      <x:c r="G352" s="192" t="str">
        <x:f>'Raw Data'!G352</x:f>
        <x:v>Budget Customer 23</x:v>
      </x:c>
      <x:c r="H352" s="192" t="n">
        <x:f>'Raw Data'!H352</x:f>
        <x:v>127</x:v>
      </x:c>
      <x:c r="I352" s="195" t="n">
        <x:f>'Raw Data'!I352</x:f>
        <x:v>496</x:v>
      </x:c>
      <x:c r="J352" s="196" t="n">
        <x:f>'Raw Data'!J352</x:f>
        <x:v>0.08</x:v>
      </x:c>
      <x:c r="K352" s="195" t="n">
        <x:f>'Raw Data'!K352</x:f>
        <x:v>62992</x:v>
      </x:c>
      <x:c r="L352" s="195" t="n">
        <x:f>'Raw Data'!L352</x:f>
        <x:v>57952.64</x:v>
      </x:c>
      <x:c r="M352" s="195" t="n">
        <x:f>'Raw Data'!M352</x:f>
        <x:v>42884.9536</x:v>
      </x:c>
      <x:c r="N352" s="195" t="n">
        <x:f>'Raw Data'!N352</x:f>
        <x:v>15067.686399999999</x:v>
      </x:c>
      <x:c r="O352" s="195" t="n">
        <x:f>'Raw Data'!O352</x:f>
        <x:v>7533.8432</x:v>
      </x:c>
      <x:c r="P352" s="195" t="n">
        <x:f>'Raw Data'!P352</x:f>
        <x:v>7533.843199999998</x:v>
      </x:c>
      <x:c r="Q352" s="195" t="n">
        <x:f>'Raw Data'!Q352</x:f>
        <x:v>57967.918270947965</x:v>
      </x:c>
      <x:c r="R352" s="196" t="n">
        <x:f t="shared" si="15">IFERROR(N352/L352,0)</x:f>
        <x:v>0.25999999999999995</x:v>
      </x:c>
      <x:c r="S352" s="196" t="n">
        <x:f t="shared" si="16">IFERROR(P352/L352,0)</x:f>
        <x:v>0.12999999999999998</x:v>
      </x:c>
      <x:c r="T352" s="196" t="n">
        <x:f t="shared" si="17">IFERROR(L352/Q352,0)</x:f>
        <x:v>0.9997364357492268</x:v>
      </x:c>
    </x:row>
    <x:row r="353">
      <x:c r="A353" s="192" t="str">
        <x:f>'Raw Data'!A353</x:f>
        <x:v>ZOM-0349</x:v>
      </x:c>
      <x:c r="B353" s="193" t="n">
        <x:f>'Raw Data'!B353</x:f>
        <x:v>46006</x:v>
      </x:c>
      <x:c r="C353" s="236" t="str">
        <x:f>'Raw Data'!C353</x:f>
        <x:v>Central</x:v>
      </x:c>
      <x:c r="D353" s="192" t="str">
        <x:f>'Raw Data'!D353</x:f>
        <x:v>Raipur</x:v>
      </x:c>
      <x:c r="E353" s="192" t="str">
        <x:f>'Raw Data'!E353</x:f>
        <x:v>Chinese</x:v>
      </x:c>
      <x:c r="F353" s="192" t="str">
        <x:f>'Raw Data'!F353</x:f>
        <x:v>Repeat User</x:v>
      </x:c>
      <x:c r="G353" s="192" t="str">
        <x:f>'Raw Data'!G353</x:f>
        <x:v>Repeat User Customer 27</x:v>
      </x:c>
      <x:c r="H353" s="192" t="n">
        <x:f>'Raw Data'!H353</x:f>
        <x:v>88</x:v>
      </x:c>
      <x:c r="I353" s="195" t="n">
        <x:f>'Raw Data'!I353</x:f>
        <x:v>369</x:v>
      </x:c>
      <x:c r="J353" s="196" t="n">
        <x:f>'Raw Data'!J353</x:f>
        <x:v>0.05</x:v>
      </x:c>
      <x:c r="K353" s="195" t="n">
        <x:f>'Raw Data'!K353</x:f>
        <x:v>32472</x:v>
      </x:c>
      <x:c r="L353" s="195" t="n">
        <x:f>'Raw Data'!L353</x:f>
        <x:v>30848.399999999998</x:v>
      </x:c>
      <x:c r="M353" s="195" t="n">
        <x:f>'Raw Data'!M353</x:f>
        <x:v>22827.816</x:v>
      </x:c>
      <x:c r="N353" s="195" t="n">
        <x:f>'Raw Data'!N353</x:f>
        <x:v>8020.583999999999</x:v>
      </x:c>
      <x:c r="O353" s="195" t="n">
        <x:f>'Raw Data'!O353</x:f>
        <x:v>4010.292</x:v>
      </x:c>
      <x:c r="P353" s="195" t="n">
        <x:f>'Raw Data'!P353</x:f>
        <x:v>4010.291999999999</x:v>
      </x:c>
      <x:c r="Q353" s="195" t="n">
        <x:f>'Raw Data'!Q353</x:f>
        <x:v>33597.03275408197</x:v>
      </x:c>
      <x:c r="R353" s="196" t="n">
        <x:f t="shared" si="15">IFERROR(N353/L353,0)</x:f>
        <x:v>0.26</x:v>
      </x:c>
      <x:c r="S353" s="196" t="n">
        <x:f t="shared" si="16">IFERROR(P353/L353,0)</x:f>
        <x:v>0.12999999999999998</x:v>
      </x:c>
      <x:c r="T353" s="196" t="n">
        <x:f t="shared" si="17">IFERROR(L353/Q353,0)</x:f>
        <x:v>0.9181882288772059</x:v>
      </x:c>
    </x:row>
    <x:row r="354">
      <x:c r="A354" s="192" t="str">
        <x:f>'Raw Data'!A354</x:f>
        <x:v>ZOM-0350</x:v>
      </x:c>
      <x:c r="B354" s="193" t="n">
        <x:f>'Raw Data'!B354</x:f>
        <x:v>46007</x:v>
      </x:c>
      <x:c r="C354" s="236" t="str">
        <x:f>'Raw Data'!C354</x:f>
        <x:v>North</x:v>
      </x:c>
      <x:c r="D354" s="192" t="str">
        <x:f>'Raw Data'!D354</x:f>
        <x:v>Lucknow</x:v>
      </x:c>
      <x:c r="E354" s="192" t="str">
        <x:f>'Raw Data'!E354</x:f>
        <x:v>Biryani</x:v>
      </x:c>
      <x:c r="F354" s="192" t="str">
        <x:f>'Raw Data'!F354</x:f>
        <x:v>New User</x:v>
      </x:c>
      <x:c r="G354" s="192" t="str">
        <x:f>'Raw Data'!G354</x:f>
        <x:v>New User Customer 60</x:v>
      </x:c>
      <x:c r="H354" s="192" t="n">
        <x:f>'Raw Data'!H354</x:f>
        <x:v>139</x:v>
      </x:c>
      <x:c r="I354" s="195" t="n">
        <x:f>'Raw Data'!I354</x:f>
        <x:v>420</x:v>
      </x:c>
      <x:c r="J354" s="196" t="n">
        <x:f>'Raw Data'!J354</x:f>
        <x:v>0.08</x:v>
      </x:c>
      <x:c r="K354" s="195" t="n">
        <x:f>'Raw Data'!K354</x:f>
        <x:v>58380</x:v>
      </x:c>
      <x:c r="L354" s="195" t="n">
        <x:f>'Raw Data'!L354</x:f>
        <x:v>53709.600000000006</x:v>
      </x:c>
      <x:c r="M354" s="195" t="n">
        <x:f>'Raw Data'!M354</x:f>
        <x:v>39745.10400000001</x:v>
      </x:c>
      <x:c r="N354" s="195" t="n">
        <x:f>'Raw Data'!N354</x:f>
        <x:v>13964.496</x:v>
      </x:c>
      <x:c r="O354" s="195" t="n">
        <x:f>'Raw Data'!O354</x:f>
        <x:v>6982.248000000001</x:v>
      </x:c>
      <x:c r="P354" s="195" t="n">
        <x:f>'Raw Data'!P354</x:f>
        <x:v>6982.247999999998</x:v>
      </x:c>
      <x:c r="Q354" s="195" t="n">
        <x:f>'Raw Data'!Q354</x:f>
        <x:v>56380.92437384455</x:v>
      </x:c>
      <x:c r="R354" s="196" t="n">
        <x:f t="shared" si="15">IFERROR(N354/L354,0)</x:f>
        <x:v>0.25999999999999995</x:v>
      </x:c>
      <x:c r="S354" s="196" t="n">
        <x:f t="shared" si="16">IFERROR(P354/L354,0)</x:f>
        <x:v>0.12999999999999995</x:v>
      </x:c>
      <x:c r="T354" s="196" t="n">
        <x:f t="shared" si="17">IFERROR(L354/Q354,0)</x:f>
        <x:v>0.9526200678064124</x:v>
      </x:c>
    </x:row>
    <x:row r="355">
      <x:c r="A355" s="192" t="str">
        <x:f>'Raw Data'!A355</x:f>
        <x:v>ZOM-0351</x:v>
      </x:c>
      <x:c r="B355" s="193" t="n">
        <x:f>'Raw Data'!B355</x:f>
        <x:v>46008</x:v>
      </x:c>
      <x:c r="C355" s="236" t="str">
        <x:f>'Raw Data'!C355</x:f>
        <x:v>East</x:v>
      </x:c>
      <x:c r="D355" s="192" t="str">
        <x:f>'Raw Data'!D355</x:f>
        <x:v>Guwahati</x:v>
      </x:c>
      <x:c r="E355" s="192" t="str">
        <x:f>'Raw Data'!E355</x:f>
        <x:v>North Indian</x:v>
      </x:c>
      <x:c r="F355" s="192" t="str">
        <x:f>'Raw Data'!F355</x:f>
        <x:v>Student</x:v>
      </x:c>
      <x:c r="G355" s="192" t="str">
        <x:f>'Raw Data'!G355</x:f>
        <x:v>Student Customer 36</x:v>
      </x:c>
      <x:c r="H355" s="192" t="n">
        <x:f>'Raw Data'!H355</x:f>
        <x:v>110</x:v>
      </x:c>
      <x:c r="I355" s="195" t="n">
        <x:f>'Raw Data'!I355</x:f>
        <x:v>574</x:v>
      </x:c>
      <x:c r="J355" s="196" t="n">
        <x:f>'Raw Data'!J355</x:f>
        <x:v>0.12</x:v>
      </x:c>
      <x:c r="K355" s="195" t="n">
        <x:f>'Raw Data'!K355</x:f>
        <x:v>63140</x:v>
      </x:c>
      <x:c r="L355" s="195" t="n">
        <x:f>'Raw Data'!L355</x:f>
        <x:v>55563.2</x:v>
      </x:c>
      <x:c r="M355" s="195" t="n">
        <x:f>'Raw Data'!M355</x:f>
        <x:v>40561.136</x:v>
      </x:c>
      <x:c r="N355" s="195" t="n">
        <x:f>'Raw Data'!N355</x:f>
        <x:v>15002.063999999998</x:v>
      </x:c>
      <x:c r="O355" s="195" t="n">
        <x:f>'Raw Data'!O355</x:f>
        <x:v>7223.215999999999</x:v>
      </x:c>
      <x:c r="P355" s="195" t="n">
        <x:f>'Raw Data'!P355</x:f>
        <x:v>7778.847999999999</x:v>
      </x:c>
      <x:c r="Q355" s="195" t="n">
        <x:f>'Raw Data'!Q355</x:f>
        <x:v>60471.968222332594</x:v>
      </x:c>
      <x:c r="R355" s="196" t="n">
        <x:f t="shared" si="15">IFERROR(N355/L355,0)</x:f>
        <x:v>0.26999999999999996</x:v>
      </x:c>
      <x:c r="S355" s="196" t="n">
        <x:f t="shared" si="16">IFERROR(P355/L355,0)</x:f>
        <x:v>0.13999999999999999</x:v>
      </x:c>
      <x:c r="T355" s="196" t="n">
        <x:f t="shared" si="17">IFERROR(L355/Q355,0)</x:f>
        <x:v>0.9188257242713697</x:v>
      </x:c>
    </x:row>
    <x:row r="356">
      <x:c r="A356" s="192" t="str">
        <x:f>'Raw Data'!A356</x:f>
        <x:v>ZOM-0352</x:v>
      </x:c>
      <x:c r="B356" s="193" t="n">
        <x:f>'Raw Data'!B356</x:f>
        <x:v>46009</x:v>
      </x:c>
      <x:c r="C356" s="236" t="str">
        <x:f>'Raw Data'!C356</x:f>
        <x:v>Metro</x:v>
      </x:c>
      <x:c r="D356" s="192" t="str">
        <x:f>'Raw Data'!D356</x:f>
        <x:v>Pune</x:v>
      </x:c>
      <x:c r="E356" s="192" t="str">
        <x:f>'Raw Data'!E356</x:f>
        <x:v>South Indian</x:v>
      </x:c>
      <x:c r="F356" s="192" t="str">
        <x:f>'Raw Data'!F356</x:f>
        <x:v>Gold User</x:v>
      </x:c>
      <x:c r="G356" s="192" t="str">
        <x:f>'Raw Data'!G356</x:f>
        <x:v>Gold User Customer 39</x:v>
      </x:c>
      <x:c r="H356" s="192" t="n">
        <x:f>'Raw Data'!H356</x:f>
        <x:v>143</x:v>
      </x:c>
      <x:c r="I356" s="195" t="n">
        <x:f>'Raw Data'!I356</x:f>
        <x:v>402</x:v>
      </x:c>
      <x:c r="J356" s="196" t="n">
        <x:f>'Raw Data'!J356</x:f>
        <x:v>0.03</x:v>
      </x:c>
      <x:c r="K356" s="195" t="n">
        <x:f>'Raw Data'!K356</x:f>
        <x:v>57486</x:v>
      </x:c>
      <x:c r="L356" s="195" t="n">
        <x:f>'Raw Data'!L356</x:f>
        <x:v>55761.42</x:v>
      </x:c>
      <x:c r="M356" s="195" t="n">
        <x:f>'Raw Data'!M356</x:f>
        <x:v>41263.4508</x:v>
      </x:c>
      <x:c r="N356" s="195" t="n">
        <x:f>'Raw Data'!N356</x:f>
        <x:v>14497.9692</x:v>
      </x:c>
      <x:c r="O356" s="195" t="n">
        <x:f>'Raw Data'!O356</x:f>
        <x:v>7248.9846</x:v>
      </x:c>
      <x:c r="P356" s="195" t="n">
        <x:f>'Raw Data'!P356</x:f>
        <x:v>7248.9846</x:v>
      </x:c>
      <x:c r="Q356" s="195" t="n">
        <x:f>'Raw Data'!Q356</x:f>
        <x:v>58353.694225592015</x:v>
      </x:c>
      <x:c r="R356" s="196" t="n">
        <x:f t="shared" si="15">IFERROR(N356/L356,0)</x:f>
        <x:v>0.26</x:v>
      </x:c>
      <x:c r="S356" s="196" t="n">
        <x:f t="shared" si="16">IFERROR(P356/L356,0)</x:f>
        <x:v>0.13</x:v>
      </x:c>
      <x:c r="T356" s="196" t="n">
        <x:f t="shared" si="17">IFERROR(L356/Q356,0)</x:f>
        <x:v>0.9555765190191655</x:v>
      </x:c>
    </x:row>
    <x:row r="357">
      <x:c r="A357" s="192" t="str">
        <x:f>'Raw Data'!A357</x:f>
        <x:v>ZOM-0353</x:v>
      </x:c>
      <x:c r="B357" s="193" t="n">
        <x:f>'Raw Data'!B357</x:f>
        <x:v>46010</x:v>
      </x:c>
      <x:c r="C357" s="236" t="str">
        <x:f>'Raw Data'!C357</x:f>
        <x:v>West</x:v>
      </x:c>
      <x:c r="D357" s="192" t="str">
        <x:f>'Raw Data'!D357</x:f>
        <x:v>Ahmedabad</x:v>
      </x:c>
      <x:c r="E357" s="192" t="str">
        <x:f>'Raw Data'!E357</x:f>
        <x:v>Chinese</x:v>
      </x:c>
      <x:c r="F357" s="192" t="str">
        <x:f>'Raw Data'!F357</x:f>
        <x:v>Repeat User</x:v>
      </x:c>
      <x:c r="G357" s="192" t="str">
        <x:f>'Raw Data'!G357</x:f>
        <x:v>Repeat User Customer 29</x:v>
      </x:c>
      <x:c r="H357" s="192" t="n">
        <x:f>'Raw Data'!H357</x:f>
        <x:v>198</x:v>
      </x:c>
      <x:c r="I357" s="195" t="n">
        <x:f>'Raw Data'!I357</x:f>
        <x:v>534</x:v>
      </x:c>
      <x:c r="J357" s="196" t="n">
        <x:f>'Raw Data'!J357</x:f>
        <x:v>0.05</x:v>
      </x:c>
      <x:c r="K357" s="195" t="n">
        <x:f>'Raw Data'!K357</x:f>
        <x:v>105732</x:v>
      </x:c>
      <x:c r="L357" s="195" t="n">
        <x:f>'Raw Data'!L357</x:f>
        <x:v>100445.4</x:v>
      </x:c>
      <x:c r="M357" s="195" t="n">
        <x:f>'Raw Data'!M357</x:f>
        <x:v>74329.59599999999</x:v>
      </x:c>
      <x:c r="N357" s="195" t="n">
        <x:f>'Raw Data'!N357</x:f>
        <x:v>26115.804000000004</x:v>
      </x:c>
      <x:c r="O357" s="195" t="n">
        <x:f>'Raw Data'!O357</x:f>
        <x:v>13057.902</x:v>
      </x:c>
      <x:c r="P357" s="195" t="n">
        <x:f>'Raw Data'!P357</x:f>
        <x:v>13057.902000000004</x:v>
      </x:c>
      <x:c r="Q357" s="195" t="n">
        <x:f>'Raw Data'!Q357</x:f>
        <x:v>112143.17063664971</x:v>
      </x:c>
      <x:c r="R357" s="196" t="n">
        <x:f t="shared" si="15">IFERROR(N357/L357,0)</x:f>
        <x:v>0.26000000000000006</x:v>
      </x:c>
      <x:c r="S357" s="196" t="n">
        <x:f t="shared" si="16">IFERROR(P357/L357,0)</x:f>
        <x:v>0.13000000000000003</x:v>
      </x:c>
      <x:c r="T357" s="196" t="n">
        <x:f t="shared" si="17">IFERROR(L357/Q357,0)</x:f>
        <x:v>0.8956889610821585</x:v>
      </x:c>
    </x:row>
    <x:row r="358">
      <x:c r="A358" s="192" t="str">
        <x:f>'Raw Data'!A358</x:f>
        <x:v>ZOM-0354</x:v>
      </x:c>
      <x:c r="B358" s="193" t="n">
        <x:f>'Raw Data'!B358</x:f>
        <x:v>46011</x:v>
      </x:c>
      <x:c r="C358" s="236" t="str">
        <x:f>'Raw Data'!C358</x:f>
        <x:v>Central</x:v>
      </x:c>
      <x:c r="D358" s="192" t="str">
        <x:f>'Raw Data'!D358</x:f>
        <x:v>Indore</x:v>
      </x:c>
      <x:c r="E358" s="192" t="str">
        <x:f>'Raw Data'!E358</x:f>
        <x:v>South Indian</x:v>
      </x:c>
      <x:c r="F358" s="192" t="str">
        <x:f>'Raw Data'!F358</x:f>
        <x:v>Budget</x:v>
      </x:c>
      <x:c r="G358" s="192" t="str">
        <x:f>'Raw Data'!G358</x:f>
        <x:v>Budget Customer 13</x:v>
      </x:c>
      <x:c r="H358" s="192" t="n">
        <x:f>'Raw Data'!H358</x:f>
        <x:v>116</x:v>
      </x:c>
      <x:c r="I358" s="195" t="n">
        <x:f>'Raw Data'!I358</x:f>
        <x:v>341</x:v>
      </x:c>
      <x:c r="J358" s="196" t="n">
        <x:f>'Raw Data'!J358</x:f>
        <x:v>0.1</x:v>
      </x:c>
      <x:c r="K358" s="195" t="n">
        <x:f>'Raw Data'!K358</x:f>
        <x:v>39556</x:v>
      </x:c>
      <x:c r="L358" s="195" t="n">
        <x:f>'Raw Data'!L358</x:f>
        <x:v>35600.4</x:v>
      </x:c>
      <x:c r="M358" s="195" t="n">
        <x:f>'Raw Data'!M358</x:f>
        <x:v>26344.296000000002</x:v>
      </x:c>
      <x:c r="N358" s="195" t="n">
        <x:f>'Raw Data'!N358</x:f>
        <x:v>9256.104</x:v>
      </x:c>
      <x:c r="O358" s="195" t="n">
        <x:f>'Raw Data'!O358</x:f>
        <x:v>4628.052000000001</x:v>
      </x:c>
      <x:c r="P358" s="195" t="n">
        <x:f>'Raw Data'!P358</x:f>
        <x:v>4628.051999999999</x:v>
      </x:c>
      <x:c r="Q358" s="195" t="n">
        <x:f>'Raw Data'!Q358</x:f>
        <x:v>38302.82615541269</x:v>
      </x:c>
      <x:c r="R358" s="196" t="n">
        <x:f t="shared" si="15">IFERROR(N358/L358,0)</x:f>
        <x:v>0.25999999999999995</x:v>
      </x:c>
      <x:c r="S358" s="196" t="n">
        <x:f t="shared" si="16">IFERROR(P358/L358,0)</x:f>
        <x:v>0.12999999999999995</x:v>
      </x:c>
      <x:c r="T358" s="196" t="n">
        <x:f t="shared" si="17">IFERROR(L358/Q358,0)</x:f>
        <x:v>0.9294457765479847</x:v>
      </x:c>
    </x:row>
    <x:row r="359">
      <x:c r="A359" s="192" t="str">
        <x:f>'Raw Data'!A359</x:f>
        <x:v>ZOM-0355</x:v>
      </x:c>
      <x:c r="B359" s="193" t="n">
        <x:f>'Raw Data'!B359</x:f>
        <x:v>46012</x:v>
      </x:c>
      <x:c r="C359" s="236" t="str">
        <x:f>'Raw Data'!C359</x:f>
        <x:v>South</x:v>
      </x:c>
      <x:c r="D359" s="192" t="str">
        <x:f>'Raw Data'!D359</x:f>
        <x:v>Chennai</x:v>
      </x:c>
      <x:c r="E359" s="192" t="str">
        <x:f>'Raw Data'!E359</x:f>
        <x:v>Burgers</x:v>
      </x:c>
      <x:c r="F359" s="192" t="str">
        <x:f>'Raw Data'!F359</x:f>
        <x:v>Student</x:v>
      </x:c>
      <x:c r="G359" s="192" t="str">
        <x:f>'Raw Data'!G359</x:f>
        <x:v>Student Customer 08</x:v>
      </x:c>
      <x:c r="H359" s="192" t="n">
        <x:f>'Raw Data'!H359</x:f>
        <x:v>87</x:v>
      </x:c>
      <x:c r="I359" s="195" t="n">
        <x:f>'Raw Data'!I359</x:f>
        <x:v>509</x:v>
      </x:c>
      <x:c r="J359" s="196" t="n">
        <x:f>'Raw Data'!J359</x:f>
        <x:v>0.12</x:v>
      </x:c>
      <x:c r="K359" s="195" t="n">
        <x:f>'Raw Data'!K359</x:f>
        <x:v>44283</x:v>
      </x:c>
      <x:c r="L359" s="195" t="n">
        <x:f>'Raw Data'!L359</x:f>
        <x:v>38969.04</x:v>
      </x:c>
      <x:c r="M359" s="195" t="n">
        <x:f>'Raw Data'!M359</x:f>
        <x:v>28837.0896</x:v>
      </x:c>
      <x:c r="N359" s="195" t="n">
        <x:f>'Raw Data'!N359</x:f>
        <x:v>10131.950400000002</x:v>
      </x:c>
      <x:c r="O359" s="195" t="n">
        <x:f>'Raw Data'!O359</x:f>
        <x:v>5065.9752</x:v>
      </x:c>
      <x:c r="P359" s="195" t="n">
        <x:f>'Raw Data'!P359</x:f>
        <x:v>5065.975200000002</x:v>
      </x:c>
      <x:c r="Q359" s="195" t="n">
        <x:f>'Raw Data'!Q359</x:f>
        <x:v>40476.58722852917</x:v>
      </x:c>
      <x:c r="R359" s="196" t="n">
        <x:f t="shared" si="15">IFERROR(N359/L359,0)</x:f>
        <x:v>0.26</x:v>
      </x:c>
      <x:c r="S359" s="196" t="n">
        <x:f t="shared" si="16">IFERROR(P359/L359,0)</x:f>
        <x:v>0.13000000000000003</x:v>
      </x:c>
      <x:c r="T359" s="196" t="n">
        <x:f t="shared" si="17">IFERROR(L359/Q359,0)</x:f>
        <x:v>0.9627550806094985</x:v>
      </x:c>
    </x:row>
    <x:row r="360">
      <x:c r="A360" s="192" t="str">
        <x:f>'Raw Data'!A360</x:f>
        <x:v>ZOM-0356</x:v>
      </x:c>
      <x:c r="B360" s="193" t="n">
        <x:f>'Raw Data'!B360</x:f>
        <x:v>46013</x:v>
      </x:c>
      <x:c r="C360" s="236" t="str">
        <x:f>'Raw Data'!C360</x:f>
        <x:v>Central</x:v>
      </x:c>
      <x:c r="D360" s="192" t="str">
        <x:f>'Raw Data'!D360</x:f>
        <x:v>Varanasi</x:v>
      </x:c>
      <x:c r="E360" s="192" t="str">
        <x:f>'Raw Data'!E360</x:f>
        <x:v>South Indian</x:v>
      </x:c>
      <x:c r="F360" s="192" t="str">
        <x:f>'Raw Data'!F360</x:f>
        <x:v>Corporate</x:v>
      </x:c>
      <x:c r="G360" s="192" t="str">
        <x:f>'Raw Data'!G360</x:f>
        <x:v>Corporate Customer 07</x:v>
      </x:c>
      <x:c r="H360" s="192" t="n">
        <x:f>'Raw Data'!H360</x:f>
        <x:v>150</x:v>
      </x:c>
      <x:c r="I360" s="195" t="n">
        <x:f>'Raw Data'!I360</x:f>
        <x:v>400</x:v>
      </x:c>
      <x:c r="J360" s="196" t="n">
        <x:f>'Raw Data'!J360</x:f>
        <x:v>0.02</x:v>
      </x:c>
      <x:c r="K360" s="195" t="n">
        <x:f>'Raw Data'!K360</x:f>
        <x:v>60000</x:v>
      </x:c>
      <x:c r="L360" s="195" t="n">
        <x:f>'Raw Data'!L360</x:f>
        <x:v>58800</x:v>
      </x:c>
      <x:c r="M360" s="195" t="n">
        <x:f>'Raw Data'!M360</x:f>
        <x:v>43512</x:v>
      </x:c>
      <x:c r="N360" s="195" t="n">
        <x:f>'Raw Data'!N360</x:f>
        <x:v>15288</x:v>
      </x:c>
      <x:c r="O360" s="195" t="n">
        <x:f>'Raw Data'!O360</x:f>
        <x:v>7644</x:v>
      </x:c>
      <x:c r="P360" s="195" t="n">
        <x:f>'Raw Data'!P360</x:f>
        <x:v>7644</x:v>
      </x:c>
      <x:c r="Q360" s="195" t="n">
        <x:f>'Raw Data'!Q360</x:f>
        <x:v>58890.1087545781</x:v>
      </x:c>
      <x:c r="R360" s="196" t="n">
        <x:f t="shared" si="15">IFERROR(N360/L360,0)</x:f>
        <x:v>0.26</x:v>
      </x:c>
      <x:c r="S360" s="196" t="n">
        <x:f t="shared" si="16">IFERROR(P360/L360,0)</x:f>
        <x:v>0.13</x:v>
      </x:c>
      <x:c r="T360" s="196" t="n">
        <x:f t="shared" si="17">IFERROR(L360/Q360,0)</x:f>
        <x:v>0.9984698830332676</x:v>
      </x:c>
    </x:row>
    <x:row r="361">
      <x:c r="A361" s="192" t="str">
        <x:f>'Raw Data'!A361</x:f>
        <x:v>ZOM-0357</x:v>
      </x:c>
      <x:c r="B361" s="193" t="n">
        <x:f>'Raw Data'!B361</x:f>
        <x:v>46014</x:v>
      </x:c>
      <x:c r="C361" s="236" t="str">
        <x:f>'Raw Data'!C361</x:f>
        <x:v>North</x:v>
      </x:c>
      <x:c r="D361" s="192" t="str">
        <x:f>'Raw Data'!D361</x:f>
        <x:v>Noida</x:v>
      </x:c>
      <x:c r="E361" s="192" t="str">
        <x:f>'Raw Data'!E361</x:f>
        <x:v>North Indian</x:v>
      </x:c>
      <x:c r="F361" s="192" t="str">
        <x:f>'Raw Data'!F361</x:f>
        <x:v>New User</x:v>
      </x:c>
      <x:c r="G361" s="192" t="str">
        <x:f>'Raw Data'!G361</x:f>
        <x:v>New User Customer 04</x:v>
      </x:c>
      <x:c r="H361" s="192" t="n">
        <x:f>'Raw Data'!H361</x:f>
        <x:v>121</x:v>
      </x:c>
      <x:c r="I361" s="195" t="n">
        <x:f>'Raw Data'!I361</x:f>
        <x:v>594</x:v>
      </x:c>
      <x:c r="J361" s="196" t="n">
        <x:f>'Raw Data'!J361</x:f>
        <x:v>0.08</x:v>
      </x:c>
      <x:c r="K361" s="195" t="n">
        <x:f>'Raw Data'!K361</x:f>
        <x:v>71874</x:v>
      </x:c>
      <x:c r="L361" s="195" t="n">
        <x:f>'Raw Data'!L361</x:f>
        <x:v>66124.08</x:v>
      </x:c>
      <x:c r="M361" s="195" t="n">
        <x:f>'Raw Data'!M361</x:f>
        <x:v>48270.5784</x:v>
      </x:c>
      <x:c r="N361" s="195" t="n">
        <x:f>'Raw Data'!N361</x:f>
        <x:v>17853.501600000003</x:v>
      </x:c>
      <x:c r="O361" s="195" t="n">
        <x:f>'Raw Data'!O361</x:f>
        <x:v>8596.1304</x:v>
      </x:c>
      <x:c r="P361" s="195" t="n">
        <x:f>'Raw Data'!P361</x:f>
        <x:v>9257.371200000003</x:v>
      </x:c>
      <x:c r="Q361" s="195" t="n">
        <x:f>'Raw Data'!Q361</x:f>
        <x:v>67285.97311007215</x:v>
      </x:c>
      <x:c r="R361" s="196" t="n">
        <x:f t="shared" si="15">IFERROR(N361/L361,0)</x:f>
        <x:v>0.27</x:v>
      </x:c>
      <x:c r="S361" s="196" t="n">
        <x:f t="shared" si="16">IFERROR(P361/L361,0)</x:f>
        <x:v>0.14000000000000004</x:v>
      </x:c>
      <x:c r="T361" s="196" t="n">
        <x:f t="shared" si="17">IFERROR(L361/Q361,0)</x:f>
        <x:v>0.9827320159556668</x:v>
      </x:c>
    </x:row>
    <x:row r="362">
      <x:c r="A362" s="192" t="str">
        <x:f>'Raw Data'!A362</x:f>
        <x:v>ZOM-0358</x:v>
      </x:c>
      <x:c r="B362" s="193" t="n">
        <x:f>'Raw Data'!B362</x:f>
        <x:v>46015</x:v>
      </x:c>
      <x:c r="C362" s="236" t="str">
        <x:f>'Raw Data'!C362</x:f>
        <x:v>East</x:v>
      </x:c>
      <x:c r="D362" s="192" t="str">
        <x:f>'Raw Data'!D362</x:f>
        <x:v>Patna</x:v>
      </x:c>
      <x:c r="E362" s="192" t="str">
        <x:f>'Raw Data'!E362</x:f>
        <x:v>Biryani</x:v>
      </x:c>
      <x:c r="F362" s="192" t="str">
        <x:f>'Raw Data'!F362</x:f>
        <x:v>Gold User</x:v>
      </x:c>
      <x:c r="G362" s="192" t="str">
        <x:f>'Raw Data'!G362</x:f>
        <x:v>Gold User Customer 15</x:v>
      </x:c>
      <x:c r="H362" s="192" t="n">
        <x:f>'Raw Data'!H362</x:f>
        <x:v>142</x:v>
      </x:c>
      <x:c r="I362" s="195" t="n">
        <x:f>'Raw Data'!I362</x:f>
        <x:v>538</x:v>
      </x:c>
      <x:c r="J362" s="196" t="n">
        <x:f>'Raw Data'!J362</x:f>
        <x:v>0.009999999999999998</x:v>
      </x:c>
      <x:c r="K362" s="195" t="n">
        <x:f>'Raw Data'!K362</x:f>
        <x:v>76396</x:v>
      </x:c>
      <x:c r="L362" s="195" t="n">
        <x:f>'Raw Data'!L362</x:f>
        <x:v>75632.04</x:v>
      </x:c>
      <x:c r="M362" s="195" t="n">
        <x:f>'Raw Data'!M362</x:f>
        <x:v>55967.709599999995</x:v>
      </x:c>
      <x:c r="N362" s="195" t="n">
        <x:f>'Raw Data'!N362</x:f>
        <x:v>19664.3304</x:v>
      </x:c>
      <x:c r="O362" s="195" t="n">
        <x:f>'Raw Data'!O362</x:f>
        <x:v>9832.1652</x:v>
      </x:c>
      <x:c r="P362" s="195" t="n">
        <x:f>'Raw Data'!P362</x:f>
        <x:v>9832.1652</x:v>
      </x:c>
      <x:c r="Q362" s="195" t="n">
        <x:f>'Raw Data'!Q362</x:f>
        <x:v>80731.6209044898</x:v>
      </x:c>
      <x:c r="R362" s="196" t="n">
        <x:f t="shared" si="15">IFERROR(N362/L362,0)</x:f>
        <x:v>0.26</x:v>
      </x:c>
      <x:c r="S362" s="196" t="n">
        <x:f t="shared" si="16">IFERROR(P362/L362,0)</x:f>
        <x:v>0.13</x:v>
      </x:c>
      <x:c r="T362" s="196" t="n">
        <x:f t="shared" si="17">IFERROR(L362/Q362,0)</x:f>
        <x:v>0.93683291816322</x:v>
      </x:c>
    </x:row>
    <x:row r="363">
      <x:c r="A363" s="192" t="str">
        <x:f>'Raw Data'!A363</x:f>
        <x:v>ZOM-0359</x:v>
      </x:c>
      <x:c r="B363" s="193" t="n">
        <x:f>'Raw Data'!B363</x:f>
        <x:v>46016</x:v>
      </x:c>
      <x:c r="C363" s="236" t="str">
        <x:f>'Raw Data'!C363</x:f>
        <x:v>Central</x:v>
      </x:c>
      <x:c r="D363" s="192" t="str">
        <x:f>'Raw Data'!D363</x:f>
        <x:v>Varanasi</x:v>
      </x:c>
      <x:c r="E363" s="192" t="str">
        <x:f>'Raw Data'!E363</x:f>
        <x:v>Pizza</x:v>
      </x:c>
      <x:c r="F363" s="192" t="str">
        <x:f>'Raw Data'!F363</x:f>
        <x:v>Gold User</x:v>
      </x:c>
      <x:c r="G363" s="192" t="str">
        <x:f>'Raw Data'!G363</x:f>
        <x:v>Gold User Customer 44</x:v>
      </x:c>
      <x:c r="H363" s="192" t="n">
        <x:f>'Raw Data'!H363</x:f>
        <x:v>125</x:v>
      </x:c>
      <x:c r="I363" s="195" t="n">
        <x:f>'Raw Data'!I363</x:f>
        <x:v>693</x:v>
      </x:c>
      <x:c r="J363" s="196" t="n">
        <x:f>'Raw Data'!J363</x:f>
        <x:v>0.009999999999999998</x:v>
      </x:c>
      <x:c r="K363" s="195" t="n">
        <x:f>'Raw Data'!K363</x:f>
        <x:v>86625</x:v>
      </x:c>
      <x:c r="L363" s="195" t="n">
        <x:f>'Raw Data'!L363</x:f>
        <x:v>85758.75</x:v>
      </x:c>
      <x:c r="M363" s="195" t="n">
        <x:f>'Raw Data'!M363</x:f>
        <x:v>63461.475</x:v>
      </x:c>
      <x:c r="N363" s="195" t="n">
        <x:f>'Raw Data'!N363</x:f>
        <x:v>22297.275</x:v>
      </x:c>
      <x:c r="O363" s="195" t="n">
        <x:f>'Raw Data'!O363</x:f>
        <x:v>11148.6375</x:v>
      </x:c>
      <x:c r="P363" s="195" t="n">
        <x:f>'Raw Data'!P363</x:f>
        <x:v>11148.6375</x:v>
      </x:c>
      <x:c r="Q363" s="195" t="n">
        <x:f>'Raw Data'!Q363</x:f>
        <x:v>95604.21780849021</x:v>
      </x:c>
      <x:c r="R363" s="196" t="n">
        <x:f t="shared" si="15">IFERROR(N363/L363,0)</x:f>
        <x:v>0.26</x:v>
      </x:c>
      <x:c r="S363" s="196" t="n">
        <x:f t="shared" si="16">IFERROR(P363/L363,0)</x:f>
        <x:v>0.13</x:v>
      </x:c>
      <x:c r="T363" s="196" t="n">
        <x:f t="shared" si="17">IFERROR(L363/Q363,0)</x:f>
        <x:v>0.8970184785339473</x:v>
      </x:c>
    </x:row>
    <x:row r="364">
      <x:c r="A364" s="192" t="str">
        <x:f>'Raw Data'!A364</x:f>
        <x:v>ZOM-0360</x:v>
      </x:c>
      <x:c r="B364" s="193" t="n">
        <x:f>'Raw Data'!B364</x:f>
        <x:v>46017</x:v>
      </x:c>
      <x:c r="C364" s="236" t="str">
        <x:f>'Raw Data'!C364</x:f>
        <x:v>South</x:v>
      </x:c>
      <x:c r="D364" s="192" t="str">
        <x:f>'Raw Data'!D364</x:f>
        <x:v>Coimbatore</x:v>
      </x:c>
      <x:c r="E364" s="192" t="str">
        <x:f>'Raw Data'!E364</x:f>
        <x:v>North Indian</x:v>
      </x:c>
      <x:c r="F364" s="192" t="str">
        <x:f>'Raw Data'!F364</x:f>
        <x:v>Budget</x:v>
      </x:c>
      <x:c r="G364" s="192" t="str">
        <x:f>'Raw Data'!G364</x:f>
        <x:v>Budget Customer 42</x:v>
      </x:c>
      <x:c r="H364" s="192" t="n">
        <x:f>'Raw Data'!H364</x:f>
        <x:v>100</x:v>
      </x:c>
      <x:c r="I364" s="195" t="n">
        <x:f>'Raw Data'!I364</x:f>
        <x:v>565</x:v>
      </x:c>
      <x:c r="J364" s="196" t="n">
        <x:f>'Raw Data'!J364</x:f>
        <x:v>0.11</x:v>
      </x:c>
      <x:c r="K364" s="195" t="n">
        <x:f>'Raw Data'!K364</x:f>
        <x:v>56500</x:v>
      </x:c>
      <x:c r="L364" s="195" t="n">
        <x:f>'Raw Data'!L364</x:f>
        <x:v>50285</x:v>
      </x:c>
      <x:c r="M364" s="195" t="n">
        <x:f>'Raw Data'!M364</x:f>
        <x:v>36708.049999999996</x:v>
      </x:c>
      <x:c r="N364" s="195" t="n">
        <x:f>'Raw Data'!N364</x:f>
        <x:v>13576.950000000004</x:v>
      </x:c>
      <x:c r="O364" s="195" t="n">
        <x:f>'Raw Data'!O364</x:f>
        <x:v>6537.05</x:v>
      </x:c>
      <x:c r="P364" s="195" t="n">
        <x:f>'Raw Data'!P364</x:f>
        <x:v>7039.900000000004</x:v>
      </x:c>
      <x:c r="Q364" s="195" t="n">
        <x:f>'Raw Data'!Q364</x:f>
        <x:v>54536.87272751287</x:v>
      </x:c>
      <x:c r="R364" s="196" t="n">
        <x:f t="shared" si="15">IFERROR(N364/L364,0)</x:f>
        <x:v>0.2700000000000001</x:v>
      </x:c>
      <x:c r="S364" s="196" t="n">
        <x:f t="shared" si="16">IFERROR(P364/L364,0)</x:f>
        <x:v>0.1400000000000001</x:v>
      </x:c>
      <x:c r="T364" s="196" t="n">
        <x:f t="shared" si="17">IFERROR(L364/Q364,0)</x:f>
        <x:v>0.922036733775388</x:v>
      </x:c>
    </x:row>
  </x:sheetData>
  <x:mergeCells>
    <x:mergeCell ref="A1:Q1"/>
  </x:mergeCells>
  <x:pageMargins left="0.7" right="0.7" top="0.75" bottom="0.75" header="0.3" footer="0.3"/>
  <x:tableParts count="1">
    <x:tablePart xmlns:r="http://schemas.openxmlformats.org/officeDocument/2006/relationships" r:id="R59f204b47cb9456d"/>
  </x:tableParts>
</x:worksheet>
</file>

<file path=xl/worksheets/sheet4.xml><?xml version="1.0" encoding="utf-8"?>
<x:worksheet xmlns:x="http://schemas.openxmlformats.org/spreadsheetml/2006/main">
  <x:sheetFormatPr defaultRowHeight="14.25"/>
  <x:cols>
    <x:col min="1" max="1" width="12" hidden="0" customWidth="1"/>
    <x:col min="2" max="2" width="14" hidden="0" customWidth="1"/>
    <x:col min="3" max="3" width="5" hidden="0" customWidth="1"/>
    <x:col min="4" max="4" width="12" hidden="0" customWidth="1"/>
    <x:col min="5" max="7" width="18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customWidth="1"/>
    <x:col min="5" max="5" width="14" hidden="0" customWidth="1"/>
    <x:col min="6" max="6" width="5" hidden="0" customWidth="1"/>
    <x:col min="7" max="7" width="14" hidden="0" customWidth="1"/>
  </x:cols>
  <x:sheetData>
    <x:row r="1" ht="24" customHeight="1">
      <x:c r="A1" s="114" t="str">
        <x:v>ZOMATO INDIA | MANAGEMENT COCKPIT</x:v>
      </x:c>
      <x:c r="B1" s="114"/>
      <x:c r="C1" s="114"/>
      <x:c r="D1" s="114"/>
      <x:c r="E1" s="114"/>
      <x:c r="F1" s="114"/>
      <x:c r="G1" s="114"/>
      <x:c r="H1" s="114"/>
      <x:c r="I1" s="114"/>
      <x:c r="J1" s="114"/>
      <x:c r="K1" s="114"/>
      <x:c r="L1" s="114"/>
      <x:c r="M1" s="14"/>
    </x:row>
    <x:row r="2" ht="24" customHeight="1">
      <x:c r="A2" s="114" t="str">
        <x:v>Boardroom view | Fictional India food-delivery model | FY2025 base case</x:v>
      </x:c>
      <x:c r="B2" s="114"/>
      <x:c r="C2" s="114"/>
      <x:c r="D2" s="114"/>
      <x:c r="E2" s="114"/>
      <x:c r="F2" s="114"/>
      <x:c r="G2" s="114"/>
      <x:c r="H2" s="114"/>
      <x:c r="I2" s="114"/>
      <x:c r="J2" s="114"/>
      <x:c r="K2" s="114"/>
      <x:c r="L2" s="114"/>
      <x:c r="M2" s="14"/>
    </x:row>
    <x:row r="3" ht="24" customHeight="1">
      <x:c r="A3" s="117" t="str">
        <x:v>MBA portfolio simulation • FY2025 operating view • Synthetic data</x:v>
      </x:c>
      <x:c r="B3" s="117"/>
      <x:c r="C3" s="117"/>
      <x:c r="D3" s="117"/>
      <x:c r="E3" s="117"/>
      <x:c r="F3" s="117"/>
      <x:c r="G3" s="117"/>
      <x:c r="H3" s="117"/>
      <x:c r="I3" s="117"/>
      <x:c r="J3" s="117"/>
      <x:c r="K3" s="117"/>
      <x:c r="L3" s="117"/>
      <x:c r="M3" s="14"/>
    </x:row>
    <x:row r="4" ht="15">
      <x:c r="A4" s="94"/>
      <x:c r="B4" s="95"/>
      <x:c r="C4" s="95"/>
      <x:c r="D4" s="94"/>
      <x:c r="E4" s="95"/>
      <x:c r="F4" s="95"/>
      <x:c r="G4" s="94"/>
      <x:c r="H4" s="95"/>
      <x:c r="I4" s="95"/>
      <x:c r="J4" s="94"/>
      <x:c r="K4" s="95"/>
      <x:c r="L4" s="95"/>
      <x:c r="M4" s="14"/>
    </x:row>
    <x:row r="5" ht="22" customHeight="1">
      <x:c r="A5" s="259" t="str">
        <x:v>REVENUE</x:v>
      </x:c>
      <x:c r="B5" s="131"/>
      <x:c r="C5" s="131"/>
      <x:c r="D5" s="259" t="str">
        <x:v>NET PROFIT</x:v>
      </x:c>
      <x:c r="E5" s="132"/>
      <x:c r="F5" s="132"/>
      <x:c r="G5" s="259" t="str">
        <x:v>ORDERS</x:v>
      </x:c>
      <x:c r="H5" s="257"/>
      <x:c r="I5" s="257"/>
      <x:c r="J5" s="263" t="str">
        <x:v>AOV</x:v>
      </x:c>
      <x:c r="K5" s="253"/>
      <x:c r="L5" s="253"/>
      <x:c r="M5" s="14"/>
    </x:row>
    <x:row r="6" ht="22" customHeight="1">
      <x:c r="A6" s="260" t="str">
        <x:v>₹1.61 Cr</x:v>
      </x:c>
      <x:c r="B6" s="253"/>
      <x:c r="C6" s="253"/>
      <x:c r="D6" s="261" t="str">
        <x:v>₹0.22 Cr</x:v>
      </x:c>
      <x:c r="E6" s="255"/>
      <x:c r="F6" s="255"/>
      <x:c r="G6" s="262" t="str">
        <x:v>40,383</x:v>
      </x:c>
      <x:c r="H6" s="257"/>
      <x:c r="I6" s="257"/>
      <x:c r="J6" s="260" t="str">
        <x:v>₹399</x:v>
      </x:c>
      <x:c r="K6" s="253"/>
      <x:c r="L6" s="253"/>
      <x:c r="M6" s="14"/>
    </x:row>
    <x:row r="7" ht="22" customHeight="1">
      <x:c r="A7" s="253"/>
      <x:c r="B7" s="253"/>
      <x:c r="C7" s="253"/>
      <x:c r="D7" s="255"/>
      <x:c r="E7" s="255"/>
      <x:c r="F7" s="255"/>
      <x:c r="G7" s="257"/>
      <x:c r="H7" s="257"/>
      <x:c r="I7" s="257"/>
      <x:c r="J7" s="253"/>
      <x:c r="K7" s="253"/>
      <x:c r="L7" s="253"/>
      <x:c r="M7" s="14"/>
    </x:row>
    <x:row r="8" ht="22" customHeight="1">
      <x:c r="A8" s="254"/>
      <x:c r="B8" s="253"/>
      <x:c r="C8" s="253"/>
      <x:c r="D8" s="256"/>
      <x:c r="E8" s="255"/>
      <x:c r="F8" s="255"/>
      <x:c r="G8" s="258"/>
      <x:c r="H8" s="257"/>
      <x:c r="I8" s="257"/>
      <x:c r="J8" s="138"/>
      <x:c r="K8" s="253"/>
      <x:c r="L8" s="253"/>
      <x:c r="M8" s="14"/>
    </x:row>
    <x:row r="9" ht="15">
      <x:c r="A9" s="95"/>
      <x:c r="B9" s="95"/>
      <x:c r="C9" s="95"/>
      <x:c r="D9" s="95"/>
      <x:c r="E9" s="95"/>
      <x:c r="F9" s="95"/>
      <x:c r="G9" s="95"/>
      <x:c r="H9" s="95"/>
      <x:c r="I9" s="95"/>
      <x:c r="J9" s="95"/>
      <x:c r="K9" s="95"/>
      <x:c r="L9" s="95"/>
      <x:c r="M9" s="14"/>
    </x:row>
    <x:row r="10" ht="15">
      <x:c r="A10" s="93"/>
      <x:c r="B10" s="93"/>
      <x:c r="C10" s="93"/>
      <x:c r="D10" s="93"/>
      <x:c r="E10" s="93"/>
      <x:c r="F10" s="93"/>
      <x:c r="G10" s="93"/>
      <x:c r="H10" s="93"/>
      <x:c r="I10" s="93"/>
      <x:c r="J10" s="93"/>
      <x:c r="K10" s="93"/>
      <x:c r="L10" s="93"/>
      <x:c r="M10" s="14"/>
    </x:row>
    <x:row r="11" ht="15">
      <x:c r="A11" s="140" t="str">
        <x:v>DEMAND MOMENTUM</x:v>
      </x:c>
      <x:c r="B11" s="140"/>
      <x:c r="C11" s="140"/>
      <x:c r="D11" s="140"/>
      <x:c r="E11" s="140"/>
      <x:c r="F11" s="140"/>
      <x:c r="G11" s="143" t="str">
        <x:v>CATEGORY MIX</x:v>
      </x:c>
      <x:c r="H11" s="143"/>
      <x:c r="I11" s="143"/>
      <x:c r="J11" s="140" t="str">
        <x:v>CUSTOMER MIX</x:v>
      </x:c>
      <x:c r="K11" s="140"/>
      <x:c r="L11" s="140"/>
      <x:c r="M11" s="14"/>
    </x:row>
    <x:row r="12" ht="15">
      <x:c r="A12" s="156" t="str">
        <x:v>Month</x:v>
      </x:c>
      <x:c r="B12" s="156" t="str">
        <x:v>Revenue (₹ Cr)</x:v>
      </x:c>
      <x:c r="C12" s="93"/>
      <x:c r="D12" s="93"/>
      <x:c r="E12" s="93"/>
      <x:c r="F12" s="93"/>
      <x:c r="G12" s="156" t="str">
        <x:v>Category</x:v>
      </x:c>
      <x:c r="H12" s="156" t="str">
        <x:v>Revenue (₹ Cr)</x:v>
      </x:c>
      <x:c r="I12" s="156" t="str">
        <x:v>Margin %</x:v>
      </x:c>
      <x:c r="J12" s="156" t="str">
        <x:v>Segment</x:v>
      </x:c>
      <x:c r="K12" s="156" t="str">
        <x:v>Revenue (₹ Cr)</x:v>
      </x:c>
      <x:c r="L12" s="156" t="str">
        <x:v>Margin %</x:v>
      </x:c>
      <x:c r="M12" s="14"/>
    </x:row>
    <x:row r="13" ht="15">
      <x:c r="A13" s="151" t="str">
        <x:v>Jan-25</x:v>
      </x:c>
      <x:c r="B13" s="152" t="n">
        <x:f>'Monthly Sales Analysis'!B5</x:f>
        <x:v>0.129911619</x:v>
      </x:c>
      <x:c r="C13" s="93"/>
      <x:c r="D13" s="93"/>
      <x:c r="E13" s="93"/>
      <x:c r="F13" s="93"/>
      <x:c r="G13" s="241" t="str">
        <x:v>North Indian</x:v>
      </x:c>
      <x:c r="H13" s="246" t="n">
        <x:v>0.279011905</x:v>
      </x:c>
      <x:c r="I13" s="269" t="n">
        <x:v>0.14</x:v>
      </x:c>
      <x:c r="J13" s="241" t="str">
        <x:v>New User</x:v>
      </x:c>
      <x:c r="K13" s="246" t="n">
        <x:v>0.28950817100000004</x:v>
      </x:c>
      <x:c r="L13" s="269" t="n">
        <x:v>0.13865660385799605</x:v>
      </x:c>
      <x:c r="M13" s="14"/>
    </x:row>
    <x:row r="14" ht="15">
      <x:c r="A14" s="151" t="str">
        <x:v>Feb-25</x:v>
      </x:c>
      <x:c r="B14" s="152" t="n">
        <x:f>'Monthly Sales Analysis'!B6</x:f>
        <x:v>0.105307563</x:v>
      </x:c>
      <x:c r="C14" s="93"/>
      <x:c r="D14" s="93"/>
      <x:c r="E14" s="93"/>
      <x:c r="F14" s="93"/>
      <x:c r="G14" s="241" t="str">
        <x:v>Biryani</x:v>
      </x:c>
      <x:c r="H14" s="246" t="n">
        <x:v>0.178376201</x:v>
      </x:c>
      <x:c r="I14" s="269" t="n">
        <x:v>0.12999999999999998</x:v>
      </x:c>
      <x:c r="J14" s="241" t="str">
        <x:v>Repeat User</x:v>
      </x:c>
      <x:c r="K14" s="246" t="n">
        <x:v>0.412671175</x:v>
      </x:c>
      <x:c r="L14" s="269" t="n">
        <x:v>0.13972401120577416</x:v>
      </x:c>
      <x:c r="M14" s="14"/>
    </x:row>
    <x:row r="15" ht="15">
      <x:c r="A15" s="151" t="str">
        <x:v>Mar-25</x:v>
      </x:c>
      <x:c r="B15" s="152" t="n">
        <x:f>'Monthly Sales Analysis'!L5</x:f>
        <x:v>0.39347114000000005</x:v>
      </x:c>
      <x:c r="C15" s="93"/>
      <x:c r="D15" s="93"/>
      <x:c r="E15" s="93"/>
      <x:c r="F15" s="93"/>
      <x:c r="G15" s="241" t="str">
        <x:v>Pizza</x:v>
      </x:c>
      <x:c r="H15" s="246" t="n">
        <x:v>0.264318656</x:v>
      </x:c>
      <x:c r="I15" s="269" t="n">
        <x:v>0.13</x:v>
      </x:c>
      <x:c r="J15" s="241" t="str">
        <x:v>Gold User</x:v>
      </x:c>
      <x:c r="K15" s="246" t="n">
        <x:v>0.23262676899999996</x:v>
      </x:c>
      <x:c r="L15" s="269" t="n">
        <x:v>0.1410672151406617</x:v>
      </x:c>
      <x:c r="M15" s="14"/>
    </x:row>
    <x:row r="16" ht="15">
      <x:c r="A16" s="151" t="str">
        <x:v>Apr-25</x:v>
      </x:c>
      <x:c r="B16" s="152" t="n">
        <x:f>'Monthly Sales Analysis'!L6</x:f>
        <x:v>0.39235552800000006</x:v>
      </x:c>
      <x:c r="C16" s="93"/>
      <x:c r="D16" s="93"/>
      <x:c r="E16" s="93"/>
      <x:c r="F16" s="93"/>
      <x:c r="G16" s="241" t="str">
        <x:v>South Indian</x:v>
      </x:c>
      <x:c r="H16" s="246" t="n">
        <x:v>0.17369714699999994</x:v>
      </x:c>
      <x:c r="I16" s="269" t="n">
        <x:v>0.13000000000000006</x:v>
      </x:c>
      <x:c r="J16" s="241" t="str">
        <x:v>Corporate</x:v>
      </x:c>
      <x:c r="K16" s="246" t="n">
        <x:v>0.222120183</x:v>
      </x:c>
      <x:c r="L16" s="269" t="n">
        <x:v>0.13949519323959855</x:v>
      </x:c>
      <x:c r="M16" s="14"/>
    </x:row>
    <x:row r="17" ht="15">
      <x:c r="A17" s="151" t="str">
        <x:v>May-25</x:v>
      </x:c>
      <x:c r="B17" s="152" t="n">
        <x:f>'Monthly Sales Analysis'!B9</x:f>
        <x:v>0.13385202100000002</x:v>
      </x:c>
      <x:c r="C17" s="93"/>
      <x:c r="D17" s="93"/>
      <x:c r="E17" s="93"/>
      <x:c r="F17" s="93"/>
      <x:c r="G17" s="241" t="str">
        <x:v>Chinese</x:v>
      </x:c>
      <x:c r="H17" s="246" t="n">
        <x:v>0.22066612399999996</x:v>
      </x:c>
      <x:c r="I17" s="269" t="n">
        <x:v>0.13000000000000003</x:v>
      </x:c>
      <x:c r="J17" s="241" t="str">
        <x:v>Budget</x:v>
      </x:c>
      <x:c r="K17" s="246" t="n">
        <x:v>0.2540737860000001</x:v>
      </x:c>
      <x:c r="L17" s="269" t="n">
        <x:v>0.13740352127472136</x:v>
      </x:c>
      <x:c r="M17" s="14"/>
    </x:row>
    <x:row r="18" ht="15">
      <x:c r="A18" s="151" t="str">
        <x:v>Jun-25</x:v>
      </x:c>
      <x:c r="B18" s="152" t="n">
        <x:f>'Monthly Sales Analysis'!B10</x:f>
        <x:v>0.13563990500000003</x:v>
      </x:c>
      <x:c r="C18" s="93"/>
      <x:c r="D18" s="93"/>
      <x:c r="E18" s="93"/>
      <x:c r="F18" s="93"/>
      <x:c r="G18" s="241" t="str">
        <x:v>Burgers</x:v>
      </x:c>
      <x:c r="H18" s="246" t="n">
        <x:v>0.161085065</x:v>
      </x:c>
      <x:c r="I18" s="269" t="n">
        <x:v>0.13000000000000006</x:v>
      </x:c>
      <x:c r="J18" s="241" t="str">
        <x:v>Student</x:v>
      </x:c>
      <x:c r="K18" s="246" t="n">
        <x:v>0.20187949500000002</x:v>
      </x:c>
      <x:c r="L18" s="269" t="n">
        <x:v>0.1378705583744401</x:v>
      </x:c>
      <x:c r="M18" s="14"/>
    </x:row>
    <x:row r="19" ht="15">
      <x:c r="A19" s="151" t="str">
        <x:v>Jul-25</x:v>
      </x:c>
      <x:c r="B19" s="152" t="n">
        <x:f>'Monthly Sales Analysis'!B11</x:f>
        <x:v>0.138513745</x:v>
      </x:c>
      <x:c r="C19" s="93"/>
      <x:c r="D19" s="93"/>
      <x:c r="E19" s="93"/>
      <x:c r="F19" s="93"/>
      <x:c r="G19" s="241" t="str">
        <x:v>Desserts</x:v>
      </x:c>
      <x:c r="H19" s="246" t="n">
        <x:v>0.096518988</x:v>
      </x:c>
      <x:c r="I19" s="269" t="n">
        <x:v>0.18000000000000002</x:v>
      </x:c>
      <x:c r="J19" s="99"/>
      <x:c r="K19" s="103"/>
      <x:c r="L19" s="99"/>
      <x:c r="M19" s="14"/>
    </x:row>
    <x:row r="20" ht="15">
      <x:c r="A20" s="151" t="str">
        <x:v>Aug-25</x:v>
      </x:c>
      <x:c r="B20" s="152" t="n">
        <x:f>'Monthly Sales Analysis'!B12</x:f>
        <x:v>0.138722927</x:v>
      </x:c>
      <x:c r="C20" s="93"/>
      <x:c r="D20" s="93"/>
      <x:c r="E20" s="93"/>
      <x:c r="F20" s="93"/>
      <x:c r="G20" s="241" t="str">
        <x:v>Healthy</x:v>
      </x:c>
      <x:c r="H20" s="246" t="n">
        <x:v>0.10596051499999999</x:v>
      </x:c>
      <x:c r="I20" s="269" t="n">
        <x:v>0.17000000000000004</x:v>
      </x:c>
      <x:c r="J20" s="100"/>
      <x:c r="K20" s="104"/>
      <x:c r="L20" s="100"/>
      <x:c r="M20" s="14"/>
    </x:row>
    <x:row r="21" ht="15">
      <x:c r="A21" s="151" t="str">
        <x:v>Sep-25</x:v>
      </x:c>
      <x:c r="B21" s="152" t="n">
        <x:f>'Monthly Sales Analysis'!B13</x:f>
        <x:v>0.11212488400000001</x:v>
      </x:c>
      <x:c r="C21" s="93"/>
      <x:c r="D21" s="93"/>
      <x:c r="E21" s="93"/>
      <x:c r="F21" s="93"/>
      <x:c r="G21" s="241" t="str">
        <x:v>Beverages</x:v>
      </x:c>
      <x:c r="H21" s="246" t="n">
        <x:v>0.046967286999999996</x:v>
      </x:c>
      <x:c r="I21" s="269" t="n">
        <x:v>0.19000000000000003</x:v>
      </x:c>
      <x:c r="J21" s="93"/>
      <x:c r="K21" s="102"/>
      <x:c r="L21" s="93"/>
      <x:c r="M21" s="14"/>
    </x:row>
    <x:row r="22" ht="15">
      <x:c r="A22" s="151" t="str">
        <x:v>Oct-25</x:v>
      </x:c>
      <x:c r="B22" s="152" t="n">
        <x:f>'Monthly Sales Analysis'!B14</x:f>
        <x:v>0.149001224</x:v>
      </x:c>
      <x:c r="C22" s="93"/>
      <x:c r="D22" s="93"/>
      <x:c r="E22" s="93"/>
      <x:c r="F22" s="93"/>
      <x:c r="G22" s="241" t="str">
        <x:v>Snacks</x:v>
      </x:c>
      <x:c r="H22" s="246" t="n">
        <x:v>0.08627769099999999</x:v>
      </x:c>
      <x:c r="I22" s="269" t="n">
        <x:v>0.13000000000000003</x:v>
      </x:c>
      <x:c r="J22" s="93"/>
      <x:c r="K22" s="102"/>
      <x:c r="L22" s="93"/>
      <x:c r="M22" s="14"/>
    </x:row>
    <x:row r="23" ht="15">
      <x:c r="A23" s="151" t="str">
        <x:v>Nov-25</x:v>
      </x:c>
      <x:c r="B23" s="152" t="n">
        <x:f>'Monthly Sales Analysis'!B15</x:f>
        <x:v>0.14596795</x:v>
      </x:c>
      <x:c r="C23" s="93"/>
      <x:c r="D23" s="93"/>
      <x:c r="E23" s="93"/>
      <x:c r="F23" s="93"/>
      <x:c r="G23" s="93"/>
      <x:c r="H23" s="93"/>
      <x:c r="I23" s="93"/>
      <x:c r="J23" s="93"/>
      <x:c r="K23" s="93"/>
      <x:c r="L23" s="93"/>
      <x:c r="M23" s="14"/>
    </x:row>
    <x:row r="24" ht="15">
      <x:c r="A24" s="151" t="str">
        <x:v>Dec-25</x:v>
      </x:c>
      <x:c r="B24" s="152" t="n">
        <x:f>'Monthly Sales Analysis'!B16</x:f>
        <x:v>0.142722181</x:v>
      </x:c>
      <x:c r="C24" s="93"/>
      <x:c r="D24" s="93"/>
      <x:c r="E24" s="93"/>
      <x:c r="F24" s="93"/>
      <x:c r="G24" s="93"/>
      <x:c r="H24" s="93"/>
      <x:c r="I24" s="93"/>
      <x:c r="J24" s="93"/>
      <x:c r="K24" s="93"/>
      <x:c r="L24" s="93"/>
      <x:c r="M24" s="14"/>
    </x:row>
    <x:row r="25" ht="15">
      <x:c r="A25" s="93"/>
      <x:c r="B25" s="93"/>
      <x:c r="C25" s="93"/>
      <x:c r="D25" s="93"/>
      <x:c r="E25" s="93"/>
      <x:c r="F25" s="93"/>
      <x:c r="G25" s="93"/>
      <x:c r="H25" s="93"/>
      <x:c r="I25" s="93"/>
      <x:c r="J25" s="93"/>
      <x:c r="K25" s="93"/>
      <x:c r="L25" s="93"/>
      <x:c r="M25" s="14"/>
    </x:row>
    <x:row r="26" ht="15">
      <x:c r="A26" s="93"/>
      <x:c r="B26" s="93"/>
      <x:c r="C26" s="93"/>
      <x:c r="D26" s="93"/>
      <x:c r="E26" s="93"/>
      <x:c r="F26" s="93"/>
      <x:c r="G26" s="158" t="str">
        <x:v>REGIONAL CONTRIBUTION</x:v>
      </x:c>
      <x:c r="H26" s="158"/>
      <x:c r="I26" s="158"/>
      <x:c r="J26" s="158"/>
      <x:c r="K26" s="142"/>
      <x:c r="L26" s="142"/>
      <x:c r="M26" s="14"/>
    </x:row>
    <x:row r="27" ht="24" customHeight="1">
      <x:c r="A27" s="164" t="str">
        <x:v>MANAGEMENT SIGNAL
• South + West are the strongest modeled markets
• Core cuisines drive volume; premium categories drive margin
• Main lever: retention over blanket discounting</x:v>
      </x:c>
      <x:c r="B27" s="164"/>
      <x:c r="C27" s="164"/>
      <x:c r="D27" s="164"/>
      <x:c r="E27" s="164"/>
      <x:c r="F27" s="164"/>
      <x:c r="G27" s="156" t="str">
        <x:v>Region</x:v>
      </x:c>
      <x:c r="H27" s="156" t="str">
        <x:v>Revenue (₹ Cr)</x:v>
      </x:c>
      <x:c r="I27" s="156" t="str">
        <x:v>Attainment %</x:v>
      </x:c>
      <x:c r="J27" s="156" t="str">
        <x:v>Rank</x:v>
      </x:c>
      <x:c r="K27" s="102"/>
      <x:c r="L27" s="105"/>
      <x:c r="M27" s="14"/>
    </x:row>
    <x:row r="28" ht="24" customHeight="1">
      <x:c r="A28" s="164"/>
      <x:c r="B28" s="164"/>
      <x:c r="C28" s="164"/>
      <x:c r="D28" s="164"/>
      <x:c r="E28" s="164"/>
      <x:c r="F28" s="164"/>
      <x:c r="G28" s="241" t="str">
        <x:v>North</x:v>
      </x:c>
      <x:c r="H28" s="246" t="n">
        <x:v>0.300613237</x:v>
      </x:c>
      <x:c r="I28" s="269" t="n">
        <x:v>0.9523809523809523</x:v>
      </x:c>
      <x:c r="J28" s="241" t="n">
        <x:v>3</x:v>
      </x:c>
      <x:c r="K28" s="102"/>
      <x:c r="L28" s="105"/>
      <x:c r="M28" s="14"/>
    </x:row>
    <x:row r="29" ht="24" customHeight="1">
      <x:c r="A29" s="164"/>
      <x:c r="B29" s="164"/>
      <x:c r="C29" s="164"/>
      <x:c r="D29" s="164"/>
      <x:c r="E29" s="164"/>
      <x:c r="F29" s="164"/>
      <x:c r="G29" s="241" t="str">
        <x:v>South</x:v>
      </x:c>
      <x:c r="H29" s="246" t="n">
        <x:v>0.366236157</x:v>
      </x:c>
      <x:c r="I29" s="269" t="n">
        <x:v>0.9259259259259259</x:v>
      </x:c>
      <x:c r="J29" s="241" t="n">
        <x:v>1</x:v>
      </x:c>
      <x:c r="K29" s="102"/>
      <x:c r="L29" s="105"/>
      <x:c r="M29" s="14"/>
    </x:row>
    <x:row r="30" ht="15">
      <x:c r="A30" s="93"/>
      <x:c r="B30" s="93"/>
      <x:c r="C30" s="93"/>
      <x:c r="D30" s="93"/>
      <x:c r="E30" s="93"/>
      <x:c r="F30" s="93"/>
      <x:c r="G30" s="241" t="str">
        <x:v>West</x:v>
      </x:c>
      <x:c r="H30" s="246" t="n">
        <x:v>0.3449549710000001</x:v>
      </x:c>
      <x:c r="I30" s="269" t="n">
        <x:v>0.970873786407767</x:v>
      </x:c>
      <x:c r="J30" s="241" t="n">
        <x:v>2</x:v>
      </x:c>
      <x:c r="K30" s="102"/>
      <x:c r="L30" s="105"/>
      <x:c r="M30" s="14"/>
    </x:row>
    <x:row r="31" ht="15">
      <x:c r="A31" s="93"/>
      <x:c r="B31" s="93"/>
      <x:c r="C31" s="93"/>
      <x:c r="D31" s="93"/>
      <x:c r="E31" s="93"/>
      <x:c r="F31" s="93"/>
      <x:c r="G31" s="241" t="str">
        <x:v>East</x:v>
      </x:c>
      <x:c r="H31" s="246" t="n">
        <x:v>0.158668281</x:v>
      </x:c>
      <x:c r="I31" s="269" t="n">
        <x:v>0.9090909090909091</x:v>
      </x:c>
      <x:c r="J31" s="241" t="n">
        <x:v>5</x:v>
      </x:c>
      <x:c r="K31" s="102"/>
      <x:c r="L31" s="105"/>
      <x:c r="M31" s="14"/>
    </x:row>
    <x:row r="32" ht="15">
      <x:c r="A32" s="93"/>
      <x:c r="B32" s="93"/>
      <x:c r="C32" s="93"/>
      <x:c r="D32" s="93"/>
      <x:c r="E32" s="93"/>
      <x:c r="F32" s="93"/>
      <x:c r="G32" s="241" t="str">
        <x:v>Central</x:v>
      </x:c>
      <x:c r="H32" s="246" t="n">
        <x:v>0.15220176099999996</x:v>
      </x:c>
      <x:c r="I32" s="269" t="n">
        <x:v>0.9345794392523363</x:v>
      </x:c>
      <x:c r="J32" s="241" t="n">
        <x:v>6</x:v>
      </x:c>
      <x:c r="K32" s="102"/>
      <x:c r="L32" s="105"/>
      <x:c r="M32" s="14"/>
    </x:row>
    <x:row r="33" ht="15">
      <x:c r="A33" s="93"/>
      <x:c r="B33" s="93"/>
      <x:c r="C33" s="93"/>
      <x:c r="D33" s="93"/>
      <x:c r="E33" s="93"/>
      <x:c r="F33" s="93"/>
      <x:c r="G33" s="93" t="str">
        <x:v>Metro</x:v>
      </x:c>
      <x:c r="H33" s="102" t="n">
        <x:v>0.2902051720000001</x:v>
      </x:c>
      <x:c r="I33" s="105" t="n">
        <x:v>0.9433962264150944</x:v>
      </x:c>
      <x:c r="J33" s="93" t="n">
        <x:v>4</x:v>
      </x:c>
      <x:c r="K33" s="93"/>
      <x:c r="L33" s="93"/>
      <x:c r="M33" s="14"/>
    </x:row>
    <x:row r="34" ht="15">
      <x:c r="A34" s="93"/>
      <x:c r="B34" s="93"/>
      <x:c r="C34" s="93"/>
      <x:c r="D34" s="93"/>
      <x:c r="E34" s="93"/>
      <x:c r="F34" s="93"/>
      <x:c r="G34" s="93"/>
      <x:c r="H34" s="93"/>
      <x:c r="I34" s="93"/>
      <x:c r="J34" s="93"/>
      <x:c r="K34" s="93"/>
      <x:c r="L34" s="93"/>
      <x:c r="M34" s="14"/>
    </x:row>
    <x:row r="35" ht="15">
      <x:c r="A35" s="93"/>
      <x:c r="B35" s="93"/>
      <x:c r="C35" s="93"/>
      <x:c r="D35" s="93"/>
      <x:c r="E35" s="93"/>
      <x:c r="F35" s="93"/>
      <x:c r="G35" s="93"/>
      <x:c r="H35" s="93"/>
      <x:c r="I35" s="93"/>
      <x:c r="J35" s="93"/>
      <x:c r="K35" s="93"/>
      <x:c r="L35" s="93"/>
      <x:c r="M35" s="14"/>
    </x:row>
    <x:row r="36" ht="15">
      <x:c r="A36" s="93"/>
      <x:c r="B36" s="93"/>
      <x:c r="C36" s="93"/>
      <x:c r="D36" s="93"/>
      <x:c r="E36" s="93"/>
      <x:c r="F36" s="93"/>
      <x:c r="G36" s="93"/>
      <x:c r="H36" s="93"/>
      <x:c r="I36" s="93"/>
      <x:c r="J36" s="93"/>
      <x:c r="K36" s="93"/>
      <x:c r="L36" s="93"/>
      <x:c r="M36" s="14"/>
    </x:row>
    <x:row r="37" ht="15">
      <x:c r="A37" s="93"/>
      <x:c r="B37" s="93"/>
      <x:c r="C37" s="93"/>
      <x:c r="D37" s="93"/>
      <x:c r="E37" s="93"/>
      <x:c r="F37" s="93"/>
      <x:c r="G37" s="93"/>
      <x:c r="H37" s="93"/>
      <x:c r="I37" s="93"/>
      <x:c r="J37" s="93"/>
      <x:c r="K37" s="93"/>
      <x:c r="L37" s="93"/>
      <x:c r="M37" s="14"/>
    </x:row>
    <x:row r="38" ht="15">
      <x:c r="A38" s="93"/>
      <x:c r="B38" s="93"/>
      <x:c r="C38" s="93"/>
      <x:c r="D38" s="93"/>
      <x:c r="E38" s="93"/>
      <x:c r="F38" s="93"/>
      <x:c r="G38" s="93"/>
      <x:c r="H38" s="93"/>
      <x:c r="I38" s="93"/>
      <x:c r="J38" s="93"/>
      <x:c r="K38" s="93"/>
      <x:c r="L38" s="93"/>
      <x:c r="M38" s="14"/>
    </x:row>
    <x:row r="39" ht="15">
      <x:c r="A39" s="93"/>
      <x:c r="B39" s="93"/>
      <x:c r="C39" s="93"/>
      <x:c r="D39" s="93"/>
      <x:c r="E39" s="93"/>
      <x:c r="F39" s="93"/>
      <x:c r="G39" s="93"/>
      <x:c r="H39" s="93"/>
      <x:c r="I39" s="93"/>
      <x:c r="J39" s="93"/>
      <x:c r="K39" s="93"/>
      <x:c r="L39" s="93"/>
      <x:c r="M39" s="14"/>
    </x:row>
    <x:row r="40" ht="15">
      <x:c r="A40" s="93"/>
      <x:c r="B40" s="93"/>
      <x:c r="C40" s="93"/>
      <x:c r="D40" s="93"/>
      <x:c r="E40" s="93"/>
      <x:c r="F40" s="93"/>
      <x:c r="G40" s="93"/>
      <x:c r="H40" s="93"/>
      <x:c r="I40" s="93"/>
      <x:c r="J40" s="93"/>
      <x:c r="K40" s="93"/>
      <x:c r="L40" s="93"/>
      <x:c r="M40" s="14"/>
    </x:row>
    <x:row r="41" ht="15">
      <x:c r="A41" s="93"/>
      <x:c r="B41" s="93"/>
      <x:c r="C41" s="93"/>
      <x:c r="D41" s="93"/>
      <x:c r="E41" s="93"/>
      <x:c r="F41" s="93"/>
      <x:c r="G41" s="93"/>
      <x:c r="H41" s="93"/>
      <x:c r="I41" s="93"/>
      <x:c r="J41" s="93"/>
      <x:c r="K41" s="93"/>
      <x:c r="L41" s="93"/>
      <x:c r="M41" s="14"/>
    </x:row>
    <x:row r="42" ht="15">
      <x:c r="A42" s="93"/>
      <x:c r="B42" s="93"/>
      <x:c r="C42" s="93"/>
      <x:c r="D42" s="93"/>
      <x:c r="E42" s="93"/>
      <x:c r="F42" s="93"/>
      <x:c r="G42" s="93"/>
      <x:c r="H42" s="93"/>
      <x:c r="I42" s="93"/>
      <x:c r="J42" s="93"/>
      <x:c r="K42" s="93"/>
      <x:c r="L42" s="93"/>
      <x:c r="M42" s="14"/>
    </x:row>
    <x:row r="43" ht="15">
      <x:c r="A43" s="93"/>
      <x:c r="B43" s="93"/>
      <x:c r="C43" s="93"/>
      <x:c r="D43" s="93"/>
      <x:c r="E43" s="93"/>
      <x:c r="F43" s="93"/>
      <x:c r="G43" s="93"/>
      <x:c r="H43" s="93"/>
      <x:c r="I43" s="93"/>
      <x:c r="J43" s="93"/>
      <x:c r="K43" s="93"/>
      <x:c r="L43" s="93"/>
      <x:c r="M43" s="14"/>
    </x:row>
    <x:row r="44" ht="15">
      <x:c r="A44" s="93"/>
      <x:c r="B44" s="93"/>
      <x:c r="C44" s="93"/>
      <x:c r="D44" s="93"/>
      <x:c r="E44" s="93"/>
      <x:c r="F44" s="93"/>
      <x:c r="G44" s="93"/>
      <x:c r="H44" s="93"/>
      <x:c r="I44" s="93"/>
      <x:c r="J44" s="93"/>
      <x:c r="K44" s="93"/>
      <x:c r="L44" s="93"/>
      <x:c r="M44" s="14"/>
    </x:row>
    <x:row r="45" ht="15">
      <x:c r="A45" s="267" t="str">
        <x:v>EXECUTIVE INSIGHTS
• Revenue is modelled with moderate seasonality.
• Premium categories support stronger margins.
• Prioritise retention and high-value cohorts over blanket discounting.</x:v>
      </x:c>
      <x:c r="B45" s="267"/>
      <x:c r="C45" s="267"/>
      <x:c r="D45" s="267"/>
      <x:c r="E45" s="267"/>
      <x:c r="F45" s="267"/>
      <x:c r="G45" s="251" t="str">
        <x:v>PORTFOLIO NOTE
Synthetic / illustrative dataset. Metrics are designed for an MBA-style business analytics case and are not company-reported Zomato figures.</x:v>
      </x:c>
      <x:c r="H45" s="251"/>
      <x:c r="I45" s="251"/>
      <x:c r="J45" s="251"/>
      <x:c r="K45" s="251"/>
      <x:c r="L45" s="251"/>
      <x:c r="M45" s="14"/>
    </x:row>
    <x:row r="46" ht="50.25">
      <x:c r="A46" s="268"/>
      <x:c r="B46" s="268"/>
      <x:c r="C46" s="268"/>
      <x:c r="D46" s="268"/>
      <x:c r="E46" s="268"/>
      <x:c r="F46" s="268"/>
      <x:c r="G46" s="252"/>
      <x:c r="H46" s="252"/>
      <x:c r="I46" s="252"/>
      <x:c r="J46" s="252"/>
      <x:c r="K46" s="252"/>
      <x:c r="L46" s="252"/>
      <x:c r="M46" s="14"/>
    </x:row>
    <x:row r="47" ht="63">
      <x:c r="A47" s="268"/>
      <x:c r="B47" s="268"/>
      <x:c r="C47" s="268"/>
      <x:c r="D47" s="268"/>
      <x:c r="E47" s="268"/>
      <x:c r="F47" s="268"/>
      <x:c r="G47" s="252"/>
      <x:c r="H47" s="252"/>
      <x:c r="I47" s="252"/>
      <x:c r="J47" s="252"/>
      <x:c r="K47" s="252"/>
      <x:c r="L47" s="252"/>
      <x:c r="M47" s="14"/>
    </x:row>
    <x:row r="48" ht="50.25">
      <x:c r="A48" s="268"/>
      <x:c r="B48" s="268"/>
      <x:c r="C48" s="268"/>
      <x:c r="D48" s="268"/>
      <x:c r="E48" s="268"/>
      <x:c r="F48" s="268"/>
      <x:c r="G48" s="252"/>
      <x:c r="H48" s="252"/>
      <x:c r="I48" s="252"/>
      <x:c r="J48" s="252"/>
      <x:c r="K48" s="252"/>
      <x:c r="L48" s="252"/>
      <x:c r="M48" s="14"/>
    </x:row>
    <x:row r="49" ht="50.25">
      <x:c r="A49" s="106" t="s">
        <x:v>0</x:v>
      </x:c>
      <x:c r="B49" s="106"/>
      <x:c r="C49" s="106"/>
      <x:c r="D49" s="106"/>
      <x:c r="E49" s="106"/>
      <x:c r="F49" s="106"/>
      <x:c r="G49" s="106"/>
      <x:c r="H49" s="106"/>
      <x:c r="I49" s="106"/>
      <x:c r="J49" s="106"/>
      <x:c r="K49" s="106"/>
      <x:c r="L49" s="106"/>
      <x:c r="M49" s="14"/>
    </x:row>
    <x:row r="50" ht="50.25">
      <x:c r="A50" s="106" t="s">
        <x:v>1</x:v>
      </x:c>
      <x:c r="B50" s="106"/>
      <x:c r="C50" s="106"/>
      <x:c r="D50" s="106"/>
      <x:c r="E50" s="106"/>
      <x:c r="F50" s="106"/>
      <x:c r="G50" s="106"/>
      <x:c r="H50" s="106"/>
      <x:c r="I50" s="106"/>
      <x:c r="J50" s="106"/>
      <x:c r="K50" s="106"/>
      <x:c r="L50" s="106"/>
      <x:c r="M50" s="14"/>
    </x:row>
    <x:row r="51" ht="15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</x:row>
    <x:row r="52" ht="15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</x:row>
    <x:row r="53" ht="15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</x:row>
    <x:row r="54" ht="15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</x:row>
    <x:row r="55" ht="1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</x:row>
    <x:row r="56" ht="15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</x:row>
    <x:row r="57" ht="15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</x:row>
    <x:row r="58" ht="15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</x:row>
    <x:row r="59" ht="15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</x:row>
    <x:row r="60" ht="15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</x:row>
  </x:sheetData>
  <x:mergeCells>
    <x:mergeCell ref="J19:L19"/>
    <x:mergeCell ref="A11:F11"/>
    <x:mergeCell ref="A1:L1"/>
    <x:mergeCell ref="A2:L2"/>
    <x:mergeCell ref="A1:L2"/>
    <x:mergeCell ref="A3:L3"/>
    <x:mergeCell ref="A27:F29"/>
    <x:mergeCell ref="G45:L48"/>
    <x:mergeCell ref="G11:I11"/>
    <x:mergeCell ref="J11:L11"/>
    <x:mergeCell ref="G26:J26"/>
    <x:mergeCell ref="A45:F48"/>
  </x:mergeCells>
  <x:pageMargins left="0.7" right="0.7" top="0.75" bottom="0.75" header="0.3" footer="0.3"/>
  <x:drawing xmlns:r="http://schemas.openxmlformats.org/officeDocument/2006/relationships" r:id="R3da46f09eadb4225"/>
</x:worksheet>
</file>

<file path=xl/worksheets/sheet5.xml><?xml version="1.0" encoding="utf-8"?>
<x:worksheet xmlns:x="http://schemas.openxmlformats.org/spreadsheetml/2006/main">
  <x:sheetFormatPr defaultRowHeight="14.25"/>
  <x:cols>
    <x:col min="1" max="1" width="1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4" hidden="0" customWidth="1"/>
    <x:col min="11" max="11" width="10" hidden="0" customWidth="1"/>
    <x:col min="12" max="12" width="14" hidden="0" customWidth="1"/>
    <x:col min="13" max="13" width="14" hidden="0" customWidth="1"/>
    <x:col min="14" max="17" width="14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</x:cols>
  <x:sheetData>
    <x:row r="1" ht="30" customHeight="1">
      <x:c r="A1" s="174" t="str">
        <x:v>Zomato India | Monthly Sales Analysis</x:v>
      </x:c>
      <x:c r="B1" s="237"/>
      <x:c r="C1" s="237"/>
      <x:c r="D1" s="237"/>
      <x:c r="E1" s="237"/>
      <x:c r="F1" s="237"/>
      <x:c r="G1" s="237"/>
      <x:c r="H1" s="237"/>
      <x:c r="I1" s="237"/>
      <x:c r="J1" s="237"/>
      <x:c r="K1" s="237"/>
      <x:c r="L1" s="237"/>
      <x:c r="M1" s="237"/>
      <x:c r="N1" s="238"/>
      <x:c r="O1" s="238"/>
      <x:c r="P1" s="238"/>
      <x:c r="Q1" s="238"/>
      <x:c r="R1" s="239"/>
      <x:c r="S1" s="239"/>
      <x:c r="T1" s="239"/>
      <x:c r="U1" s="239"/>
      <x:c r="V1" s="239"/>
      <x:c r="W1" s="239"/>
      <x:c r="X1" s="239"/>
      <x:c r="Y1" s="239"/>
      <x:c r="Z1" s="239"/>
    </x:row>
    <x:row r="2" ht="20.100000381469727" customHeight="1">
      <x:c r="A2" s="222" t="str">
        <x:v>Revenue, profit and growth trend | Jan-25 to Dec-25</x:v>
      </x:c>
      <x:c r="B2" s="222"/>
      <x:c r="C2" s="222"/>
      <x:c r="D2" s="222"/>
      <x:c r="E2" s="222"/>
      <x:c r="F2" s="222"/>
      <x:c r="G2" s="222"/>
      <x:c r="H2" s="222"/>
      <x:c r="I2" s="222"/>
      <x:c r="J2" s="222"/>
      <x:c r="K2" s="222"/>
      <x:c r="L2" s="222"/>
      <x:c r="M2" s="222"/>
      <x:c r="N2" s="93"/>
      <x:c r="O2" s="93"/>
      <x:c r="P2" s="93"/>
      <x:c r="Q2" s="93"/>
    </x:row>
    <x:row r="3" ht="15">
      <x:c r="A3" s="222"/>
      <x:c r="B3" s="222"/>
      <x:c r="C3" s="222"/>
      <x:c r="D3" s="222"/>
      <x:c r="E3" s="222"/>
      <x:c r="F3" s="222"/>
      <x:c r="G3" s="222"/>
      <x:c r="H3" s="222"/>
      <x:c r="I3" s="222"/>
      <x:c r="J3" s="222"/>
      <x:c r="K3" s="222"/>
      <x:c r="L3" s="222"/>
      <x:c r="M3" s="222"/>
      <x:c r="N3" s="93"/>
      <x:c r="O3" s="93"/>
      <x:c r="P3" s="93"/>
      <x:c r="Q3" s="93"/>
    </x:row>
    <x:row r="4" ht="15">
      <x:c r="A4" s="201" t="str">
        <x:v>Month</x:v>
      </x:c>
      <x:c r="B4" s="201" t="str">
        <x:v>Revenue (₹ Cr)</x:v>
      </x:c>
      <x:c r="C4" s="201" t="str">
        <x:v>Gross Profit (₹ Cr)</x:v>
      </x:c>
      <x:c r="D4" s="201" t="str">
        <x:v>Net Profit (₹ Cr)</x:v>
      </x:c>
      <x:c r="E4" s="201" t="str">
        <x:v>MoM Growth %</x:v>
      </x:c>
      <x:c r="F4" s="201" t="str">
        <x:v>Target (₹ Cr)</x:v>
      </x:c>
      <x:c r="G4" s="201" t="str">
        <x:v>Attainment %</x:v>
      </x:c>
      <x:c r="H4" s="201" t="str">
        <x:v>Orders</x:v>
      </x:c>
      <x:c r="I4" s="201" t="str">
        <x:v>AOV (₹)</x:v>
      </x:c>
      <x:c r="J4" s="201"/>
      <x:c r="K4" s="201" t="str">
        <x:v>Quarter</x:v>
      </x:c>
      <x:c r="L4" s="201" t="str">
        <x:v>Revenue (₹ Cr)</x:v>
      </x:c>
      <x:c r="M4" s="201" t="str">
        <x:v>Net Profit (₹ Cr)</x:v>
      </x:c>
      <x:c r="N4" s="201"/>
      <x:c r="O4" s="201"/>
      <x:c r="P4" s="201"/>
      <x:c r="Q4" s="201"/>
      <x:c r="R4" s="204"/>
      <x:c r="S4" s="204"/>
      <x:c r="T4" s="204"/>
      <x:c r="U4" s="204"/>
      <x:c r="V4" s="204"/>
      <x:c r="W4" s="204"/>
      <x:c r="X4" s="204"/>
      <x:c r="Y4" s="204"/>
      <x:c r="Z4" s="204"/>
    </x:row>
    <x:row r="5" ht="15">
      <x:c r="A5" s="188" t="n">
        <x:v>45658</x:v>
      </x:c>
      <x:c r="B5" s="224" t="n">
        <x:f>SUMIFS('Sales Transactions'!$L$5:$L$364,'Sales Transactions'!$B$5:$B$364,"&gt;="&amp;A5,'Sales Transactions'!$B$5:$B$364,"&lt;"&amp;A6)/10000000</x:f>
        <x:v>0.129911619</x:v>
      </x:c>
      <x:c r="C5" s="224" t="n">
        <x:f>SUMIFS('Sales Transactions'!$N$5:$N$364,'Sales Transactions'!$B$5:$B$364,"&gt;="&amp;A5,'Sales Transactions'!$B$5:$B$364,"&lt;"&amp;A6)/10000000</x:f>
        <x:v>0.03446201661000001</x:v>
      </x:c>
      <x:c r="D5" s="224" t="n">
        <x:f>SUMIFS('Sales Transactions'!$P$5:$P$364,'Sales Transactions'!$B$5:$B$364,"&gt;="&amp;A5,'Sales Transactions'!$B$5:$B$364,"&lt;"&amp;A6)/10000000</x:f>
        <x:v>0.017573506140000007</x:v>
      </x:c>
      <x:c r="E5" s="191" t="str">
        <x:v>-</x:v>
      </x:c>
      <x:c r="F5" s="191" t="n">
        <x:f>B5*1.04</x:f>
        <x:v>0.13510808376</x:v>
      </x:c>
      <x:c r="G5" s="191" t="n">
        <x:f t="shared" ref="G5:G16" si="0">IFERROR(B5/F5,0)</x:f>
        <x:v>0.9615384615384616</x:v>
      </x:c>
      <x:c r="H5" s="190" t="n">
        <x:f>SUMIFS('Sales Transactions'!$H$5:$H$364,'Sales Transactions'!$B$5:$B$364,"&gt;="&amp;A5,'Sales Transactions'!$B$5:$B$364,"&lt;"&amp;A6)</x:f>
        <x:v>3118</x:v>
      </x:c>
      <x:c r="I5" s="190" t="n">
        <x:f t="shared" ref="I5:I16" si="1">IFERROR(B5*10000000/H5,0)</x:f>
        <x:v>416.65047787042977</x:v>
      </x:c>
      <x:c r="J5" s="187"/>
      <x:c r="K5" s="187" t="str">
        <x:v>Q1</x:v>
      </x:c>
      <x:c r="L5" s="224" t="n">
        <x:f>SUM(B5:B7)</x:f>
        <x:v>0.39347114000000005</x:v>
      </x:c>
      <x:c r="M5" s="224" t="n">
        <x:f>SUM(D5:D7)</x:f>
        <x:v>0.05393228815000001</x:v>
      </x:c>
      <x:c r="N5" s="93"/>
      <x:c r="O5" s="93"/>
      <x:c r="P5" s="93"/>
      <x:c r="Q5" s="93"/>
    </x:row>
    <x:row r="6" ht="15">
      <x:c r="A6" s="188" t="n">
        <x:v>45689</x:v>
      </x:c>
      <x:c r="B6" s="224" t="n">
        <x:f>SUMIFS('Sales Transactions'!$L$5:$L$364,'Sales Transactions'!$B$5:$B$364,"&gt;="&amp;A6,'Sales Transactions'!$B$5:$B$364,"&lt;"&amp;A7)/10000000</x:f>
        <x:v>0.105307563</x:v>
      </x:c>
      <x:c r="C6" s="224" t="n">
        <x:f>SUMIFS('Sales Transactions'!$N$5:$N$364,'Sales Transactions'!$B$5:$B$364,"&gt;="&amp;A6,'Sales Transactions'!$B$5:$B$364,"&lt;"&amp;A7)/10000000</x:f>
        <x:v>0.028666086780000002</x:v>
      </x:c>
      <x:c r="D6" s="224" t="n">
        <x:f>SUMIFS('Sales Transactions'!$P$5:$P$364,'Sales Transactions'!$B$5:$B$364,"&gt;="&amp;A6,'Sales Transactions'!$B$5:$B$364,"&lt;"&amp;A7)/10000000</x:f>
        <x:v>0.014976103590000001</x:v>
      </x:c>
      <x:c r="E6" s="191" t="n">
        <x:f t="shared" ref="E6:E16" si="2">IFERROR(B6/B5-1,0)</x:f>
        <x:v>-0.18939072724511263</x:v>
      </x:c>
      <x:c r="F6" s="191" t="n">
        <x:f>B6*1.06</x:f>
        <x:v>0.11162601678000002</x:v>
      </x:c>
      <x:c r="G6" s="191" t="n">
        <x:f t="shared" si="0">IFERROR(B6/F6,0)</x:f>
        <x:v>0.9433962264150942</x:v>
      </x:c>
      <x:c r="H6" s="190" t="n">
        <x:f>SUMIFS('Sales Transactions'!$H$5:$H$364,'Sales Transactions'!$B$5:$B$364,"&gt;="&amp;A6,'Sales Transactions'!$B$5:$B$364,"&lt;"&amp;A7)</x:f>
        <x:v>2746</x:v>
      </x:c>
      <x:c r="I6" s="190" t="n">
        <x:f t="shared" si="1">IFERROR(B6*10000000/H6,0)</x:f>
        <x:v>383.4944027676621</x:v>
      </x:c>
      <x:c r="J6" s="187"/>
      <x:c r="K6" s="187" t="str">
        <x:v>Q1</x:v>
      </x:c>
      <x:c r="L6" s="224" t="n">
        <x:f>SUM(B8:B10)</x:f>
        <x:v>0.39235552800000006</x:v>
      </x:c>
      <x:c r="M6" s="224" t="n">
        <x:f>SUM(D8:D10)</x:f>
        <x:v>0.05511166504000001</x:v>
      </x:c>
      <x:c r="N6" s="93"/>
      <x:c r="O6" s="93"/>
      <x:c r="P6" s="93"/>
      <x:c r="Q6" s="93"/>
    </x:row>
    <x:row r="7" ht="15">
      <x:c r="A7" s="188" t="n">
        <x:v>45717</x:v>
      </x:c>
      <x:c r="B7" s="224" t="n">
        <x:f>SUMIFS('Sales Transactions'!$L$5:$L$364,'Sales Transactions'!$B$5:$B$364,"&gt;="&amp;A7,'Sales Transactions'!$B$5:$B$364,"&lt;"&amp;A8)/10000000</x:f>
        <x:v>0.158251958</x:v>
      </x:c>
      <x:c r="C7" s="224" t="n">
        <x:f>SUMIFS('Sales Transactions'!$N$5:$N$364,'Sales Transactions'!$B$5:$B$364,"&gt;="&amp;A7,'Sales Transactions'!$B$5:$B$364,"&lt;"&amp;A8)/10000000</x:f>
        <x:v>0.04195543296</x:v>
      </x:c>
      <x:c r="D7" s="224" t="n">
        <x:f>SUMIFS('Sales Transactions'!$P$5:$P$364,'Sales Transactions'!$B$5:$B$364,"&gt;="&amp;A7,'Sales Transactions'!$B$5:$B$364,"&lt;"&amp;A8)/10000000</x:f>
        <x:v>0.021382678419999995</x:v>
      </x:c>
      <x:c r="E7" s="191" t="n">
        <x:f t="shared" si="2">IFERROR(B7/B6-1,0)</x:f>
        <x:v>0.5027596640898431</x:v>
      </x:c>
      <x:c r="F7" s="191" t="n">
        <x:f>B7*1.05</x:f>
        <x:v>0.1661645559</x:v>
      </x:c>
      <x:c r="G7" s="191" t="n">
        <x:f t="shared" si="0">IFERROR(B7/F7,0)</x:f>
        <x:v>0.9523809523809523</x:v>
      </x:c>
      <x:c r="H7" s="190" t="n">
        <x:f>SUMIFS('Sales Transactions'!$H$5:$H$364,'Sales Transactions'!$B$5:$B$364,"&gt;="&amp;A7,'Sales Transactions'!$B$5:$B$364,"&lt;"&amp;A8)</x:f>
        <x:v>3597</x:v>
      </x:c>
      <x:c r="I7" s="190" t="n">
        <x:f t="shared" si="1">IFERROR(B7*10000000/H7,0)</x:f>
        <x:v>439.9554017236586</x:v>
      </x:c>
      <x:c r="J7" s="187"/>
      <x:c r="K7" s="187" t="str">
        <x:v>Q1</x:v>
      </x:c>
      <x:c r="L7" s="224" t="n">
        <x:f>SUM(B11:B13)</x:f>
        <x:v>0.389361556</x:v>
      </x:c>
      <x:c r="M7" s="224" t="n">
        <x:f>SUM(D11:D13)</x:f>
        <x:v>0.054727194980000005</x:v>
      </x:c>
      <x:c r="N7" s="93"/>
      <x:c r="O7" s="93"/>
      <x:c r="P7" s="93"/>
      <x:c r="Q7" s="93"/>
    </x:row>
    <x:row r="8" ht="15">
      <x:c r="A8" s="188" t="n">
        <x:v>45748</x:v>
      </x:c>
      <x:c r="B8" s="224" t="n">
        <x:f>SUMIFS('Sales Transactions'!$L$5:$L$364,'Sales Transactions'!$B$5:$B$364,"&gt;="&amp;A8,'Sales Transactions'!$B$5:$B$364,"&lt;"&amp;A9)/10000000</x:f>
        <x:v>0.122863602</x:v>
      </x:c>
      <x:c r="C8" s="224" t="n">
        <x:f>SUMIFS('Sales Transactions'!$N$5:$N$364,'Sales Transactions'!$B$5:$B$364,"&gt;="&amp;A8,'Sales Transactions'!$B$5:$B$364,"&lt;"&amp;A9)/10000000</x:f>
        <x:v>0.03315621383</x:v>
      </x:c>
      <x:c r="D8" s="224" t="n">
        <x:f>SUMIFS('Sales Transactions'!$P$5:$P$364,'Sales Transactions'!$B$5:$B$364,"&gt;="&amp;A8,'Sales Transactions'!$B$5:$B$364,"&lt;"&amp;A9)/10000000</x:f>
        <x:v>0.01718394557</x:v>
      </x:c>
      <x:c r="E8" s="191" t="n">
        <x:f t="shared" si="2">IFERROR(B8/B7-1,0)</x:f>
        <x:v>-0.22362033586971475</x:v>
      </x:c>
      <x:c r="F8" s="191" t="n">
        <x:f>B8*1.08</x:f>
        <x:v>0.13269269016000002</x:v>
      </x:c>
      <x:c r="G8" s="191" t="n">
        <x:f t="shared" si="0">IFERROR(B8/F8,0)</x:f>
        <x:v>0.9259259259259258</x:v>
      </x:c>
      <x:c r="H8" s="190" t="n">
        <x:f>SUMIFS('Sales Transactions'!$H$5:$H$364,'Sales Transactions'!$B$5:$B$364,"&gt;="&amp;A8,'Sales Transactions'!$B$5:$B$364,"&lt;"&amp;A9)</x:f>
        <x:v>3124</x:v>
      </x:c>
      <x:c r="I8" s="190" t="n">
        <x:f t="shared" si="1">IFERROR(B8*10000000/H8,0)</x:f>
        <x:v>393.2893790012804</x:v>
      </x:c>
      <x:c r="J8" s="187"/>
      <x:c r="K8" s="187" t="str">
        <x:v>Q2</x:v>
      </x:c>
      <x:c r="L8" s="224" t="n">
        <x:f>SUM(B14:B16)</x:f>
        <x:v>0.437691355</x:v>
      </x:c>
      <x:c r="M8" s="224" t="n">
        <x:f>SUM(D14:D16)</x:f>
        <x:v>0.06057572337</x:v>
      </x:c>
      <x:c r="N8" s="93"/>
      <x:c r="O8" s="93"/>
      <x:c r="P8" s="93"/>
      <x:c r="Q8" s="93"/>
    </x:row>
    <x:row r="9" ht="15">
      <x:c r="A9" s="188" t="n">
        <x:v>45778</x:v>
      </x:c>
      <x:c r="B9" s="224" t="n">
        <x:f>SUMIFS('Sales Transactions'!$L$5:$L$364,'Sales Transactions'!$B$5:$B$364,"&gt;="&amp;A9,'Sales Transactions'!$B$5:$B$364,"&lt;"&amp;A10)/10000000</x:f>
        <x:v>0.13385202100000002</x:v>
      </x:c>
      <x:c r="C9" s="224" t="n">
        <x:f>SUMIFS('Sales Transactions'!$N$5:$N$364,'Sales Transactions'!$B$5:$B$364,"&gt;="&amp;A9,'Sales Transactions'!$B$5:$B$364,"&lt;"&amp;A10)/10000000</x:f>
        <x:v>0.03671903775</x:v>
      </x:c>
      <x:c r="D9" s="224" t="n">
        <x:f>SUMIFS('Sales Transactions'!$P$5:$P$364,'Sales Transactions'!$B$5:$B$364,"&gt;="&amp;A9,'Sales Transactions'!$B$5:$B$364,"&lt;"&amp;A10)/10000000</x:f>
        <x:v>0.01931827502</x:v>
      </x:c>
      <x:c r="E9" s="191" t="n">
        <x:f t="shared" si="2">IFERROR(B9/B8-1,0)</x:f>
        <x:v>0.08943591772606507</x:v>
      </x:c>
      <x:c r="F9" s="191" t="n">
        <x:f>B9*1.03</x:f>
        <x:v>0.13786758163</x:v>
      </x:c>
      <x:c r="G9" s="191" t="n">
        <x:f t="shared" si="0">IFERROR(B9/F9,0)</x:f>
        <x:v>0.970873786407767</x:v>
      </x:c>
      <x:c r="H9" s="190" t="n">
        <x:f>SUMIFS('Sales Transactions'!$H$5:$H$364,'Sales Transactions'!$B$5:$B$364,"&gt;="&amp;A9,'Sales Transactions'!$B$5:$B$364,"&lt;"&amp;A10)</x:f>
        <x:v>3578</x:v>
      </x:c>
      <x:c r="I9" s="190" t="n">
        <x:f t="shared" si="1">IFERROR(B9*10000000/H9,0)</x:f>
        <x:v>374.09731973169374</x:v>
      </x:c>
      <x:c r="J9" s="187"/>
      <x:c r="K9" s="187" t="str">
        <x:v>Q2</x:v>
      </x:c>
      <x:c r="L9" s="187"/>
      <x:c r="M9" s="187"/>
      <x:c r="N9" s="93"/>
      <x:c r="O9" s="93"/>
      <x:c r="P9" s="93"/>
      <x:c r="Q9" s="93"/>
    </x:row>
    <x:row r="10" ht="15">
      <x:c r="A10" s="188" t="n">
        <x:v>45809</x:v>
      </x:c>
      <x:c r="B10" s="224" t="n">
        <x:f>SUMIFS('Sales Transactions'!$L$5:$L$364,'Sales Transactions'!$B$5:$B$364,"&gt;="&amp;A10,'Sales Transactions'!$B$5:$B$364,"&lt;"&amp;A11)/10000000</x:f>
        <x:v>0.13563990500000003</x:v>
      </x:c>
      <x:c r="C10" s="224" t="n">
        <x:f>SUMIFS('Sales Transactions'!$N$5:$N$364,'Sales Transactions'!$B$5:$B$364,"&gt;="&amp;A10,'Sales Transactions'!$B$5:$B$364,"&lt;"&amp;A11)/10000000</x:f>
        <x:v>0.03624263209999999</x:v>
      </x:c>
      <x:c r="D10" s="224" t="n">
        <x:f>SUMIFS('Sales Transactions'!$P$5:$P$364,'Sales Transactions'!$B$5:$B$364,"&gt;="&amp;A10,'Sales Transactions'!$B$5:$B$364,"&lt;"&amp;A11)/10000000</x:f>
        <x:v>0.018609444450000005</x:v>
      </x:c>
      <x:c r="E10" s="191" t="n">
        <x:f t="shared" si="2">IFERROR(B10/B9-1,0)</x:f>
        <x:v>0.013357168510739204</x:v>
      </x:c>
      <x:c r="F10" s="191" t="n">
        <x:f>B10*1.07</x:f>
        <x:v>0.14513469835000004</x:v>
      </x:c>
      <x:c r="G10" s="191" t="n">
        <x:f t="shared" si="0">IFERROR(B10/F10,0)</x:f>
        <x:v>0.9345794392523364</x:v>
      </x:c>
      <x:c r="H10" s="190" t="n">
        <x:f>SUMIFS('Sales Transactions'!$H$5:$H$364,'Sales Transactions'!$B$5:$B$364,"&gt;="&amp;A10,'Sales Transactions'!$B$5:$B$364,"&lt;"&amp;A11)</x:f>
        <x:v>3584</x:v>
      </x:c>
      <x:c r="I10" s="190" t="n">
        <x:f t="shared" si="1">IFERROR(B10*10000000/H10,0)</x:f>
        <x:v>378.4595563616072</x:v>
      </x:c>
      <x:c r="J10" s="187"/>
      <x:c r="K10" s="187" t="str">
        <x:v>Q2</x:v>
      </x:c>
      <x:c r="L10" s="187"/>
      <x:c r="M10" s="187"/>
      <x:c r="N10" s="93"/>
      <x:c r="O10" s="93"/>
      <x:c r="P10" s="93"/>
      <x:c r="Q10" s="93"/>
    </x:row>
    <x:row r="11" ht="15">
      <x:c r="A11" s="188" t="n">
        <x:v>45839</x:v>
      </x:c>
      <x:c r="B11" s="224" t="n">
        <x:f>SUMIFS('Sales Transactions'!$L$5:$L$364,'Sales Transactions'!$B$5:$B$364,"&gt;="&amp;A11,'Sales Transactions'!$B$5:$B$364,"&lt;"&amp;A12)/10000000</x:f>
        <x:v>0.138513745</x:v>
      </x:c>
      <x:c r="C11" s="224" t="n">
        <x:f>SUMIFS('Sales Transactions'!$N$5:$N$364,'Sales Transactions'!$B$5:$B$364,"&gt;="&amp;A11,'Sales Transactions'!$B$5:$B$364,"&lt;"&amp;A12)/10000000</x:f>
        <x:v>0.03746038882</x:v>
      </x:c>
      <x:c r="D11" s="224" t="n">
        <x:f>SUMIFS('Sales Transactions'!$P$5:$P$364,'Sales Transactions'!$B$5:$B$364,"&gt;="&amp;A11,'Sales Transactions'!$B$5:$B$364,"&lt;"&amp;A12)/10000000</x:f>
        <x:v>0.01945360197</x:v>
      </x:c>
      <x:c r="E11" s="191" t="n">
        <x:f t="shared" si="2">IFERROR(B11/B10-1,0)</x:f>
        <x:v>0.021187275234378466</x:v>
      </x:c>
      <x:c r="F11" s="191" t="n">
        <x:f>B11*1.05</x:f>
        <x:v>0.14543943225</x:v>
      </x:c>
      <x:c r="G11" s="191" t="n">
        <x:f t="shared" si="0">IFERROR(B11/F11,0)</x:f>
        <x:v>0.9523809523809523</x:v>
      </x:c>
      <x:c r="H11" s="190" t="n">
        <x:f>SUMIFS('Sales Transactions'!$H$5:$H$364,'Sales Transactions'!$B$5:$B$364,"&gt;="&amp;A11,'Sales Transactions'!$B$5:$B$364,"&lt;"&amp;A12)</x:f>
        <x:v>3673</x:v>
      </x:c>
      <x:c r="I11" s="190" t="n">
        <x:f t="shared" si="1">IFERROR(B11*10000000/H11,0)</x:f>
        <x:v>377.1133814320719</x:v>
      </x:c>
      <x:c r="J11" s="187"/>
      <x:c r="K11" s="187" t="str">
        <x:v>Q3</x:v>
      </x:c>
      <x:c r="L11" s="187"/>
      <x:c r="M11" s="187"/>
      <x:c r="N11" s="93"/>
      <x:c r="O11" s="93"/>
      <x:c r="P11" s="93"/>
      <x:c r="Q11" s="93"/>
    </x:row>
    <x:row r="12" ht="15">
      <x:c r="A12" s="188" t="n">
        <x:v>45870</x:v>
      </x:c>
      <x:c r="B12" s="224" t="n">
        <x:f>SUMIFS('Sales Transactions'!$L$5:$L$364,'Sales Transactions'!$B$5:$B$364,"&gt;="&amp;A12,'Sales Transactions'!$B$5:$B$364,"&lt;"&amp;A13)/10000000</x:f>
        <x:v>0.138722927</x:v>
      </x:c>
      <x:c r="C12" s="224" t="n">
        <x:f>SUMIFS('Sales Transactions'!$N$5:$N$364,'Sales Transactions'!$B$5:$B$364,"&gt;="&amp;A12,'Sales Transactions'!$B$5:$B$364,"&lt;"&amp;A13)/10000000</x:f>
        <x:v>0.03741833581</x:v>
      </x:c>
      <x:c r="D12" s="224" t="n">
        <x:f>SUMIFS('Sales Transactions'!$P$5:$P$364,'Sales Transactions'!$B$5:$B$364,"&gt;="&amp;A12,'Sales Transactions'!$B$5:$B$364,"&lt;"&amp;A13)/10000000</x:f>
        <x:v>0.019384355300000003</x:v>
      </x:c>
      <x:c r="E12" s="191" t="n">
        <x:f t="shared" si="2">IFERROR(B12/B11-1,0)</x:f>
        <x:v>0.0015101894761417878</x:v>
      </x:c>
      <x:c r="F12" s="191" t="n">
        <x:f>B12*1.04</x:f>
        <x:v>0.14427184408</x:v>
      </x:c>
      <x:c r="G12" s="191" t="n">
        <x:f t="shared" si="0">IFERROR(B12/F12,0)</x:f>
        <x:v>0.9615384615384616</x:v>
      </x:c>
      <x:c r="H12" s="190" t="n">
        <x:f>SUMIFS('Sales Transactions'!$H$5:$H$364,'Sales Transactions'!$B$5:$B$364,"&gt;="&amp;A12,'Sales Transactions'!$B$5:$B$364,"&lt;"&amp;A13)</x:f>
        <x:v>3481</x:v>
      </x:c>
      <x:c r="I12" s="190" t="n">
        <x:f t="shared" si="1">IFERROR(B12*10000000/H12,0)</x:f>
        <x:v>398.5145848893996</x:v>
      </x:c>
      <x:c r="J12" s="187"/>
      <x:c r="K12" s="187" t="str">
        <x:v>Q3</x:v>
      </x:c>
      <x:c r="L12" s="187"/>
      <x:c r="M12" s="187"/>
      <x:c r="N12" s="93"/>
      <x:c r="O12" s="93"/>
      <x:c r="P12" s="93"/>
      <x:c r="Q12" s="93"/>
    </x:row>
    <x:row r="13" ht="15">
      <x:c r="A13" s="188" t="n">
        <x:v>45901</x:v>
      </x:c>
      <x:c r="B13" s="224" t="n">
        <x:f>SUMIFS('Sales Transactions'!$L$5:$L$364,'Sales Transactions'!$B$5:$B$364,"&gt;="&amp;A13,'Sales Transactions'!$B$5:$B$364,"&lt;"&amp;A14)/10000000</x:f>
        <x:v>0.11212488400000001</x:v>
      </x:c>
      <x:c r="C13" s="224" t="n">
        <x:f>SUMIFS('Sales Transactions'!$N$5:$N$364,'Sales Transactions'!$B$5:$B$364,"&gt;="&amp;A13,'Sales Transactions'!$B$5:$B$364,"&lt;"&amp;A14)/10000000</x:f>
        <x:v>0.030465472630000004</x:v>
      </x:c>
      <x:c r="D13" s="224" t="n">
        <x:f>SUMIFS('Sales Transactions'!$P$5:$P$364,'Sales Transactions'!$B$5:$B$364,"&gt;="&amp;A13,'Sales Transactions'!$B$5:$B$364,"&lt;"&amp;A14)/10000000</x:f>
        <x:v>0.015889237710000004</x:v>
      </x:c>
      <x:c r="E13" s="191" t="n">
        <x:f t="shared" si="2">IFERROR(B13/B12-1,0)</x:f>
        <x:v>-0.19173501868223986</x:v>
      </x:c>
      <x:c r="F13" s="191" t="n">
        <x:f>B13*1.08</x:f>
        <x:v>0.12109487472000002</x:v>
      </x:c>
      <x:c r="G13" s="191" t="n">
        <x:f t="shared" si="0">IFERROR(B13/F13,0)</x:f>
        <x:v>0.9259259259259258</x:v>
      </x:c>
      <x:c r="H13" s="190" t="n">
        <x:f>SUMIFS('Sales Transactions'!$H$5:$H$364,'Sales Transactions'!$B$5:$B$364,"&gt;="&amp;A13,'Sales Transactions'!$B$5:$B$364,"&lt;"&amp;A14)</x:f>
        <x:v>3076</x:v>
      </x:c>
      <x:c r="I13" s="190" t="n">
        <x:f t="shared" si="1">IFERROR(B13*10000000/H13,0)</x:f>
        <x:v>364.5152275682705</x:v>
      </x:c>
      <x:c r="J13" s="187"/>
      <x:c r="K13" s="187" t="str">
        <x:v>Q3</x:v>
      </x:c>
      <x:c r="L13" s="187"/>
      <x:c r="M13" s="187"/>
      <x:c r="N13" s="93"/>
      <x:c r="O13" s="93"/>
      <x:c r="P13" s="93"/>
      <x:c r="Q13" s="93"/>
    </x:row>
    <x:row r="14" ht="15">
      <x:c r="A14" s="188" t="n">
        <x:v>45931</x:v>
      </x:c>
      <x:c r="B14" s="224" t="n">
        <x:f>SUMIFS('Sales Transactions'!$L$5:$L$364,'Sales Transactions'!$B$5:$B$364,"&gt;="&amp;A14,'Sales Transactions'!$B$5:$B$364,"&lt;"&amp;A15)/10000000</x:f>
        <x:v>0.149001224</x:v>
      </x:c>
      <x:c r="C14" s="224" t="n">
        <x:f>SUMIFS('Sales Transactions'!$N$5:$N$364,'Sales Transactions'!$B$5:$B$364,"&gt;="&amp;A14,'Sales Transactions'!$B$5:$B$364,"&lt;"&amp;A15)/10000000</x:f>
        <x:v>0.04054746050000001</x:v>
      </x:c>
      <x:c r="D14" s="224" t="n">
        <x:f>SUMIFS('Sales Transactions'!$P$5:$P$364,'Sales Transactions'!$B$5:$B$364,"&gt;="&amp;A14,'Sales Transactions'!$B$5:$B$364,"&lt;"&amp;A15)/10000000</x:f>
        <x:v>0.021177301380000003</x:v>
      </x:c>
      <x:c r="E14" s="191" t="n">
        <x:f t="shared" si="2">IFERROR(B14/B13-1,0)</x:f>
        <x:v>0.3288863157263109</x:v>
      </x:c>
      <x:c r="F14" s="191" t="n">
        <x:f>B14*1.06</x:f>
        <x:v>0.15794129744</x:v>
      </x:c>
      <x:c r="G14" s="191" t="n">
        <x:f t="shared" si="0">IFERROR(B14/F14,0)</x:f>
        <x:v>0.9433962264150944</x:v>
      </x:c>
      <x:c r="H14" s="190" t="n">
        <x:f>SUMIFS('Sales Transactions'!$H$5:$H$364,'Sales Transactions'!$B$5:$B$364,"&gt;="&amp;A14,'Sales Transactions'!$B$5:$B$364,"&lt;"&amp;A15)</x:f>
        <x:v>3571</x:v>
      </x:c>
      <x:c r="I14" s="190" t="n">
        <x:f t="shared" si="1">IFERROR(B14*10000000/H14,0)</x:f>
        <x:v>417.2534976197144</x:v>
      </x:c>
      <x:c r="J14" s="187"/>
      <x:c r="K14" s="187" t="str">
        <x:v>Q4</x:v>
      </x:c>
      <x:c r="L14" s="187"/>
      <x:c r="M14" s="187"/>
      <x:c r="N14" s="93"/>
      <x:c r="O14" s="93"/>
      <x:c r="P14" s="93"/>
      <x:c r="Q14" s="93"/>
    </x:row>
    <x:row r="15" ht="15">
      <x:c r="A15" s="188" t="n">
        <x:v>45962</x:v>
      </x:c>
      <x:c r="B15" s="224" t="n">
        <x:f>SUMIFS('Sales Transactions'!$L$5:$L$364,'Sales Transactions'!$B$5:$B$364,"&gt;="&amp;A15,'Sales Transactions'!$B$5:$B$364,"&lt;"&amp;A16)/10000000</x:f>
        <x:v>0.14596795</x:v>
      </x:c>
      <x:c r="C15" s="224" t="n">
        <x:f>SUMIFS('Sales Transactions'!$N$5:$N$364,'Sales Transactions'!$B$5:$B$364,"&gt;="&amp;A15,'Sales Transactions'!$B$5:$B$364,"&lt;"&amp;A16)/10000000</x:f>
        <x:v>0.03899197142000001</x:v>
      </x:c>
      <x:c r="D15" s="224" t="n">
        <x:f>SUMIFS('Sales Transactions'!$P$5:$P$364,'Sales Transactions'!$B$5:$B$364,"&gt;="&amp;A15,'Sales Transactions'!$B$5:$B$364,"&lt;"&amp;A16)/10000000</x:f>
        <x:v>0.02001613792</x:v>
      </x:c>
      <x:c r="E15" s="191" t="n">
        <x:f t="shared" si="2">IFERROR(B15/B14-1,0)</x:f>
        <x:v>-0.02035737639309576</x:v>
      </x:c>
      <x:c r="F15" s="191" t="n">
        <x:f>B15*1.1</x:f>
        <x:v>0.16056474500000004</x:v>
      </x:c>
      <x:c r="G15" s="191" t="n">
        <x:f t="shared" si="0">IFERROR(B15/F15,0)</x:f>
        <x:v>0.909090909090909</x:v>
      </x:c>
      <x:c r="H15" s="190" t="n">
        <x:f>SUMIFS('Sales Transactions'!$H$5:$H$364,'Sales Transactions'!$B$5:$B$364,"&gt;="&amp;A15,'Sales Transactions'!$B$5:$B$364,"&lt;"&amp;A16)</x:f>
        <x:v>3622</x:v>
      </x:c>
      <x:c r="I15" s="190" t="n">
        <x:f t="shared" si="1">IFERROR(B15*10000000/H15,0)</x:f>
        <x:v>403.00372722252905</x:v>
      </x:c>
      <x:c r="J15" s="187"/>
      <x:c r="K15" s="187" t="str">
        <x:v>Q4</x:v>
      </x:c>
      <x:c r="L15" s="187"/>
      <x:c r="M15" s="187"/>
      <x:c r="N15" s="93"/>
      <x:c r="O15" s="93"/>
      <x:c r="P15" s="93"/>
      <x:c r="Q15" s="93"/>
    </x:row>
    <x:row r="16" ht="15">
      <x:c r="A16" s="188" t="n">
        <x:v>45992</x:v>
      </x:c>
      <x:c r="B16" s="224" t="n">
        <x:f>SUMIFS('Sales Transactions'!$L$5:$L$364,'Sales Transactions'!$B$5:$B$364,"&gt;="&amp;A16,'Sales Transactions'!$B$5:$B$364,"&lt;"&amp;A17)/10000000</x:f>
        <x:v>0.142722181</x:v>
      </x:c>
      <x:c r="C16" s="224" t="n">
        <x:f>SUMIFS('Sales Transactions'!$N$5:$N$364,'Sales Transactions'!$B$5:$B$364,"&gt;="&amp;A16,'Sales Transactions'!$B$5:$B$364,"&lt;"&amp;A17)/10000000</x:f>
        <x:v>0.03793616760000001</x:v>
      </x:c>
      <x:c r="D16" s="224" t="n">
        <x:f>SUMIFS('Sales Transactions'!$P$5:$P$364,'Sales Transactions'!$B$5:$B$364,"&gt;="&amp;A16,'Sales Transactions'!$B$5:$B$364,"&lt;"&amp;A17)/10000000</x:f>
        <x:v>0.019382284070000002</x:v>
      </x:c>
      <x:c r="E16" s="191" t="n">
        <x:f t="shared" si="2">IFERROR(B16/B15-1,0)</x:f>
        <x:v>-0.02223617581804782</x:v>
      </x:c>
      <x:c r="F16" s="191" t="n">
        <x:f>B16*1.12</x:f>
        <x:v>0.15984884272000002</x:v>
      </x:c>
      <x:c r="G16" s="191" t="n">
        <x:f t="shared" si="0">IFERROR(B16/F16,0)</x:f>
        <x:v>0.8928571428571428</x:v>
      </x:c>
      <x:c r="H16" s="190" t="n">
        <x:f>SUMIFS('Sales Transactions'!$H$5:$H$364,'Sales Transactions'!$B$5:$B$364,"&gt;="&amp;A16,'Sales Transactions'!$B$5:$B$364,"&lt;"&amp;A17)</x:f>
        <x:v>3213</x:v>
      </x:c>
      <x:c r="I16" s="190" t="n">
        <x:f t="shared" si="1">IFERROR(B16*10000000/H16,0)</x:f>
        <x:v>444.2022440087146</x:v>
      </x:c>
      <x:c r="J16" s="187"/>
      <x:c r="K16" s="187" t="str">
        <x:v>Q4</x:v>
      </x:c>
      <x:c r="L16" s="187"/>
      <x:c r="M16" s="187"/>
      <x:c r="N16" s="93"/>
      <x:c r="O16" s="93"/>
      <x:c r="P16" s="93"/>
      <x:c r="Q16" s="93"/>
    </x:row>
    <x:row r="17" ht="15">
      <x:c r="A17" s="166" t="n">
        <x:v>46023</x:v>
      </x:c>
      <x:c r="B17" s="93"/>
      <x:c r="C17" s="93"/>
      <x:c r="D17" s="93"/>
      <x:c r="E17" s="93"/>
      <x:c r="F17" s="93"/>
      <x:c r="G17" s="93"/>
      <x:c r="H17" s="93"/>
      <x:c r="I17" s="93"/>
      <x:c r="J17" s="93"/>
      <x:c r="K17" s="93"/>
      <x:c r="L17" s="93"/>
      <x:c r="M17" s="93"/>
      <x:c r="N17" s="93"/>
      <x:c r="O17" s="93"/>
      <x:c r="P17" s="93"/>
      <x:c r="Q17" s="93"/>
    </x:row>
    <x:row r="18" ht="15">
      <x:c r="A18" s="93"/>
      <x:c r="B18" s="93"/>
      <x:c r="C18" s="93"/>
      <x:c r="D18" s="93"/>
      <x:c r="E18" s="93"/>
      <x:c r="F18" s="93"/>
      <x:c r="G18" s="93"/>
      <x:c r="H18" s="93"/>
      <x:c r="I18" s="93"/>
      <x:c r="J18" s="93"/>
      <x:c r="K18" s="93"/>
      <x:c r="L18" s="93"/>
      <x:c r="M18" s="93"/>
      <x:c r="N18" s="93"/>
      <x:c r="O18" s="93"/>
      <x:c r="P18" s="93"/>
      <x:c r="Q18" s="93"/>
    </x:row>
    <x:row r="19" ht="15">
      <x:c r="A19" s="93"/>
      <x:c r="B19" s="93"/>
      <x:c r="C19" s="93"/>
      <x:c r="D19" s="93"/>
      <x:c r="E19" s="93"/>
      <x:c r="F19" s="93"/>
      <x:c r="G19" s="93"/>
      <x:c r="H19" s="93"/>
      <x:c r="I19" s="93"/>
      <x:c r="J19" s="93"/>
      <x:c r="K19" s="93"/>
      <x:c r="L19" s="93"/>
      <x:c r="M19" s="93"/>
      <x:c r="N19" s="93"/>
      <x:c r="O19" s="93"/>
      <x:c r="P19" s="93"/>
      <x:c r="Q19" s="93"/>
    </x:row>
    <x:row r="20" ht="15">
      <x:c r="A20" s="93"/>
      <x:c r="B20" s="93"/>
      <x:c r="C20" s="93"/>
      <x:c r="D20" s="93"/>
      <x:c r="E20" s="93"/>
      <x:c r="F20" s="93"/>
      <x:c r="G20" s="93"/>
      <x:c r="H20" s="93"/>
      <x:c r="I20" s="93"/>
      <x:c r="J20" s="93"/>
      <x:c r="K20" s="93"/>
      <x:c r="L20" s="93"/>
      <x:c r="M20" s="93"/>
      <x:c r="N20" s="93"/>
      <x:c r="O20" s="93"/>
      <x:c r="P20" s="93"/>
      <x:c r="Q20" s="93"/>
    </x:row>
    <x:row r="21" ht="15">
      <x:c r="A21" s="93"/>
      <x:c r="B21" s="93"/>
      <x:c r="C21" s="93"/>
      <x:c r="D21" s="93"/>
      <x:c r="E21" s="93"/>
      <x:c r="F21" s="93"/>
      <x:c r="G21" s="93"/>
      <x:c r="H21" s="93"/>
      <x:c r="I21" s="93"/>
      <x:c r="J21" s="93"/>
      <x:c r="K21" s="93"/>
      <x:c r="L21" s="93"/>
      <x:c r="M21" s="93"/>
      <x:c r="N21" s="93"/>
      <x:c r="O21" s="93"/>
      <x:c r="P21" s="93"/>
      <x:c r="Q21" s="93"/>
    </x:row>
    <x:row r="22" ht="15">
      <x:c r="A22" s="93"/>
      <x:c r="B22" s="93"/>
      <x:c r="C22" s="93"/>
      <x:c r="D22" s="93"/>
      <x:c r="E22" s="93"/>
      <x:c r="F22" s="93"/>
      <x:c r="G22" s="93"/>
      <x:c r="H22" s="93"/>
      <x:c r="I22" s="93"/>
      <x:c r="J22" s="93"/>
      <x:c r="K22" s="93"/>
      <x:c r="L22" s="93"/>
      <x:c r="M22" s="93"/>
      <x:c r="N22" s="93"/>
      <x:c r="O22" s="93"/>
      <x:c r="P22" s="93"/>
      <x:c r="Q22" s="93"/>
    </x:row>
    <x:row r="23" ht="15">
      <x:c r="A23" s="93"/>
      <x:c r="B23" s="93"/>
      <x:c r="C23" s="93"/>
      <x:c r="D23" s="93"/>
      <x:c r="E23" s="93"/>
      <x:c r="F23" s="93"/>
      <x:c r="G23" s="93"/>
      <x:c r="H23" s="93"/>
      <x:c r="I23" s="93"/>
      <x:c r="J23" s="93"/>
      <x:c r="K23" s="93"/>
      <x:c r="L23" s="93"/>
      <x:c r="M23" s="93"/>
      <x:c r="N23" s="93"/>
      <x:c r="O23" s="93"/>
      <x:c r="P23" s="93"/>
      <x:c r="Q23" s="93"/>
    </x:row>
    <x:row r="24" ht="15">
      <x:c r="A24" s="93"/>
      <x:c r="B24" s="93"/>
      <x:c r="C24" s="93"/>
      <x:c r="D24" s="93"/>
      <x:c r="E24" s="93"/>
      <x:c r="F24" s="93"/>
      <x:c r="G24" s="93"/>
      <x:c r="H24" s="93"/>
      <x:c r="I24" s="93"/>
      <x:c r="J24" s="93"/>
      <x:c r="K24" s="93"/>
      <x:c r="L24" s="93"/>
      <x:c r="M24" s="93"/>
      <x:c r="N24" s="93"/>
      <x:c r="O24" s="93"/>
      <x:c r="P24" s="93"/>
      <x:c r="Q24" s="93"/>
    </x:row>
    <x:row r="25" ht="15">
      <x:c r="A25" s="93"/>
      <x:c r="B25" s="93"/>
      <x:c r="C25" s="93"/>
      <x:c r="D25" s="93"/>
      <x:c r="E25" s="93"/>
      <x:c r="F25" s="93"/>
      <x:c r="G25" s="93"/>
      <x:c r="H25" s="93"/>
      <x:c r="I25" s="93"/>
      <x:c r="J25" s="93"/>
      <x:c r="K25" s="93"/>
      <x:c r="L25" s="93"/>
      <x:c r="M25" s="93"/>
      <x:c r="N25" s="93"/>
      <x:c r="O25" s="93"/>
      <x:c r="P25" s="93"/>
      <x:c r="Q25" s="93"/>
    </x:row>
    <x:row r="26" ht="15">
      <x:c r="A26" s="93"/>
      <x:c r="B26" s="93"/>
      <x:c r="C26" s="93"/>
      <x:c r="D26" s="93"/>
      <x:c r="E26" s="93"/>
      <x:c r="F26" s="93"/>
      <x:c r="G26" s="93"/>
      <x:c r="H26" s="93"/>
      <x:c r="I26" s="93"/>
      <x:c r="J26" s="93"/>
      <x:c r="K26" s="93"/>
      <x:c r="L26" s="93"/>
      <x:c r="M26" s="93"/>
      <x:c r="N26" s="93"/>
      <x:c r="O26" s="93"/>
      <x:c r="P26" s="93"/>
      <x:c r="Q26" s="93"/>
    </x:row>
    <x:row r="27" ht="15">
      <x:c r="A27" s="93"/>
      <x:c r="B27" s="93"/>
      <x:c r="C27" s="93"/>
      <x:c r="D27" s="93"/>
      <x:c r="E27" s="93"/>
      <x:c r="F27" s="93"/>
      <x:c r="G27" s="93"/>
      <x:c r="H27" s="93"/>
      <x:c r="I27" s="93"/>
      <x:c r="J27" s="93"/>
      <x:c r="K27" s="93"/>
      <x:c r="L27" s="93"/>
      <x:c r="M27" s="93"/>
      <x:c r="N27" s="93"/>
      <x:c r="O27" s="93"/>
      <x:c r="P27" s="93"/>
      <x:c r="Q27" s="93"/>
    </x:row>
    <x:row r="28" ht="15">
      <x:c r="A28" s="93"/>
      <x:c r="B28" s="93"/>
      <x:c r="C28" s="93"/>
      <x:c r="D28" s="93"/>
      <x:c r="E28" s="93"/>
      <x:c r="F28" s="93"/>
      <x:c r="G28" s="93"/>
      <x:c r="H28" s="93"/>
      <x:c r="I28" s="93"/>
      <x:c r="J28" s="93"/>
      <x:c r="K28" s="93"/>
      <x:c r="L28" s="93"/>
      <x:c r="M28" s="93"/>
      <x:c r="N28" s="93"/>
      <x:c r="O28" s="93"/>
      <x:c r="P28" s="93"/>
      <x:c r="Q28" s="93"/>
    </x:row>
    <x:row r="29" ht="15">
      <x:c r="A29" s="93"/>
      <x:c r="B29" s="93"/>
      <x:c r="C29" s="93"/>
      <x:c r="D29" s="93"/>
      <x:c r="E29" s="93"/>
      <x:c r="F29" s="93"/>
      <x:c r="G29" s="93"/>
      <x:c r="H29" s="93"/>
      <x:c r="I29" s="93"/>
      <x:c r="J29" s="93"/>
      <x:c r="K29" s="93"/>
      <x:c r="L29" s="93"/>
      <x:c r="M29" s="93"/>
      <x:c r="N29" s="93"/>
      <x:c r="O29" s="93"/>
      <x:c r="P29" s="93"/>
      <x:c r="Q29" s="93"/>
    </x:row>
    <x:row r="30" ht="15">
      <x:c r="A30" s="93"/>
      <x:c r="B30" s="93"/>
      <x:c r="C30" s="93"/>
      <x:c r="D30" s="93"/>
      <x:c r="E30" s="93"/>
      <x:c r="F30" s="93"/>
      <x:c r="G30" s="93"/>
      <x:c r="H30" s="93"/>
      <x:c r="I30" s="93"/>
      <x:c r="J30" s="93"/>
      <x:c r="K30" s="93"/>
      <x:c r="L30" s="93"/>
      <x:c r="M30" s="93"/>
      <x:c r="N30" s="93"/>
      <x:c r="O30" s="93"/>
      <x:c r="P30" s="93"/>
      <x:c r="Q30" s="93"/>
    </x:row>
    <x:row r="31" ht="15">
      <x:c r="A31" s="93"/>
      <x:c r="B31" s="93"/>
      <x:c r="C31" s="93"/>
      <x:c r="D31" s="93"/>
      <x:c r="E31" s="93"/>
      <x:c r="F31" s="93"/>
      <x:c r="G31" s="93"/>
      <x:c r="H31" s="93"/>
      <x:c r="I31" s="93"/>
      <x:c r="J31" s="93"/>
      <x:c r="K31" s="93"/>
      <x:c r="L31" s="93"/>
      <x:c r="M31" s="93"/>
      <x:c r="N31" s="93"/>
      <x:c r="O31" s="93"/>
      <x:c r="P31" s="93"/>
      <x:c r="Q31" s="93"/>
    </x:row>
    <x:row r="32" ht="15">
      <x:c r="A32" s="93"/>
      <x:c r="B32" s="93"/>
      <x:c r="C32" s="93"/>
      <x:c r="D32" s="93"/>
      <x:c r="E32" s="93"/>
      <x:c r="F32" s="93"/>
      <x:c r="G32" s="93"/>
      <x:c r="H32" s="93"/>
      <x:c r="I32" s="93"/>
      <x:c r="J32" s="93"/>
      <x:c r="K32" s="93"/>
      <x:c r="L32" s="93"/>
      <x:c r="M32" s="93"/>
      <x:c r="N32" s="93"/>
      <x:c r="O32" s="93"/>
      <x:c r="P32" s="93"/>
      <x:c r="Q32" s="93"/>
    </x:row>
    <x:row r="33" ht="15">
      <x:c r="A33" s="93"/>
      <x:c r="B33" s="93"/>
      <x:c r="C33" s="93"/>
      <x:c r="D33" s="93"/>
      <x:c r="E33" s="93"/>
      <x:c r="F33" s="93"/>
      <x:c r="G33" s="93"/>
      <x:c r="H33" s="93"/>
      <x:c r="I33" s="93"/>
      <x:c r="J33" s="93"/>
      <x:c r="K33" s="93"/>
      <x:c r="L33" s="93"/>
      <x:c r="M33" s="93"/>
      <x:c r="N33" s="93"/>
      <x:c r="O33" s="93"/>
      <x:c r="P33" s="93"/>
      <x:c r="Q33" s="93"/>
    </x:row>
    <x:row r="34" ht="15">
      <x:c r="A34" s="93"/>
      <x:c r="B34" s="93"/>
      <x:c r="C34" s="93"/>
      <x:c r="D34" s="93"/>
      <x:c r="E34" s="93"/>
      <x:c r="F34" s="93"/>
      <x:c r="G34" s="93"/>
      <x:c r="H34" s="93"/>
      <x:c r="I34" s="93"/>
      <x:c r="J34" s="93"/>
      <x:c r="K34" s="93"/>
      <x:c r="L34" s="93"/>
      <x:c r="M34" s="93"/>
      <x:c r="N34" s="93"/>
      <x:c r="O34" s="93"/>
      <x:c r="P34" s="93"/>
      <x:c r="Q34" s="93"/>
    </x:row>
    <x:row r="35" ht="15">
      <x:c r="A35" s="93"/>
      <x:c r="B35" s="93"/>
      <x:c r="C35" s="93"/>
      <x:c r="D35" s="93"/>
      <x:c r="E35" s="93"/>
      <x:c r="F35" s="93"/>
      <x:c r="G35" s="93"/>
      <x:c r="H35" s="93"/>
      <x:c r="I35" s="93"/>
      <x:c r="J35" s="93"/>
      <x:c r="K35" s="93"/>
      <x:c r="L35" s="93"/>
      <x:c r="M35" s="93"/>
      <x:c r="N35" s="93"/>
      <x:c r="O35" s="93"/>
      <x:c r="P35" s="93"/>
      <x:c r="Q35" s="93"/>
    </x:row>
    <x:row r="36" ht="15">
      <x:c r="A36" s="93"/>
      <x:c r="B36" s="93"/>
      <x:c r="C36" s="93"/>
      <x:c r="D36" s="93"/>
      <x:c r="E36" s="93"/>
      <x:c r="F36" s="93"/>
      <x:c r="G36" s="93"/>
      <x:c r="H36" s="93"/>
      <x:c r="I36" s="93"/>
      <x:c r="J36" s="93"/>
      <x:c r="K36" s="93"/>
      <x:c r="L36" s="93"/>
      <x:c r="M36" s="93"/>
      <x:c r="N36" s="93"/>
      <x:c r="O36" s="93"/>
      <x:c r="P36" s="93"/>
      <x:c r="Q36" s="93"/>
    </x:row>
    <x:row r="37" ht="15">
      <x:c r="A37" s="93"/>
      <x:c r="B37" s="93"/>
      <x:c r="C37" s="93"/>
      <x:c r="D37" s="93"/>
      <x:c r="E37" s="93"/>
      <x:c r="F37" s="93"/>
      <x:c r="G37" s="93"/>
      <x:c r="H37" s="93"/>
      <x:c r="I37" s="93"/>
      <x:c r="J37" s="93"/>
      <x:c r="K37" s="93"/>
      <x:c r="L37" s="93"/>
      <x:c r="M37" s="93"/>
      <x:c r="N37" s="93"/>
      <x:c r="O37" s="93"/>
      <x:c r="P37" s="93"/>
      <x:c r="Q37" s="93"/>
    </x:row>
    <x:row r="38" ht="15">
      <x:c r="A38" s="93"/>
      <x:c r="B38" s="93"/>
      <x:c r="C38" s="93"/>
      <x:c r="D38" s="93"/>
      <x:c r="E38" s="93"/>
      <x:c r="F38" s="93"/>
      <x:c r="G38" s="93"/>
      <x:c r="H38" s="93"/>
      <x:c r="I38" s="93"/>
      <x:c r="J38" s="93"/>
      <x:c r="K38" s="93"/>
      <x:c r="L38" s="93"/>
      <x:c r="M38" s="93"/>
      <x:c r="N38" s="93"/>
      <x:c r="O38" s="93"/>
      <x:c r="P38" s="93"/>
      <x:c r="Q38" s="93"/>
    </x:row>
    <x:row r="39" ht="15">
      <x:c r="A39" s="93"/>
      <x:c r="B39" s="93"/>
      <x:c r="C39" s="93"/>
      <x:c r="D39" s="93"/>
      <x:c r="E39" s="93"/>
      <x:c r="F39" s="93"/>
      <x:c r="G39" s="93"/>
      <x:c r="H39" s="93"/>
      <x:c r="I39" s="93"/>
      <x:c r="J39" s="93"/>
      <x:c r="K39" s="93"/>
      <x:c r="L39" s="93"/>
      <x:c r="M39" s="93"/>
      <x:c r="N39" s="93"/>
      <x:c r="O39" s="93"/>
      <x:c r="P39" s="93"/>
      <x:c r="Q39" s="93"/>
    </x:row>
    <x:row r="40" ht="15">
      <x:c r="A40" s="93"/>
      <x:c r="B40" s="93"/>
      <x:c r="C40" s="93"/>
      <x:c r="D40" s="93"/>
      <x:c r="E40" s="93"/>
      <x:c r="F40" s="93"/>
      <x:c r="G40" s="93"/>
      <x:c r="H40" s="93"/>
      <x:c r="I40" s="93"/>
      <x:c r="J40" s="93"/>
      <x:c r="K40" s="93"/>
      <x:c r="L40" s="93"/>
      <x:c r="M40" s="93"/>
      <x:c r="N40" s="93"/>
      <x:c r="O40" s="93"/>
      <x:c r="P40" s="93"/>
      <x:c r="Q40" s="93"/>
    </x:row>
    <x:row r="41" ht="15">
      <x:c r="A41" s="93"/>
      <x:c r="B41" s="93"/>
      <x:c r="C41" s="93"/>
      <x:c r="D41" s="93"/>
      <x:c r="E41" s="93"/>
      <x:c r="F41" s="93"/>
      <x:c r="G41" s="93"/>
      <x:c r="H41" s="93"/>
      <x:c r="I41" s="93"/>
      <x:c r="J41" s="93"/>
      <x:c r="K41" s="93"/>
      <x:c r="L41" s="93"/>
      <x:c r="M41" s="93"/>
      <x:c r="N41" s="93"/>
      <x:c r="O41" s="93"/>
      <x:c r="P41" s="93"/>
      <x:c r="Q41" s="93"/>
    </x:row>
    <x:row r="42" ht="15">
      <x:c r="A42" s="93"/>
      <x:c r="B42" s="93"/>
      <x:c r="C42" s="93"/>
      <x:c r="D42" s="93"/>
      <x:c r="E42" s="93"/>
      <x:c r="F42" s="93"/>
      <x:c r="G42" s="93"/>
      <x:c r="H42" s="93"/>
      <x:c r="I42" s="93"/>
      <x:c r="J42" s="93"/>
      <x:c r="K42" s="93"/>
      <x:c r="L42" s="93"/>
      <x:c r="M42" s="93"/>
      <x:c r="N42" s="93"/>
      <x:c r="O42" s="93"/>
      <x:c r="P42" s="93"/>
      <x:c r="Q42" s="93"/>
    </x:row>
    <x:row r="43" ht="15">
      <x:c r="A43" s="93"/>
      <x:c r="B43" s="93"/>
      <x:c r="C43" s="93"/>
      <x:c r="D43" s="93"/>
      <x:c r="E43" s="93"/>
      <x:c r="F43" s="93"/>
      <x:c r="G43" s="93"/>
      <x:c r="H43" s="93"/>
      <x:c r="I43" s="93"/>
      <x:c r="J43" s="93"/>
      <x:c r="K43" s="93"/>
      <x:c r="L43" s="93"/>
      <x:c r="M43" s="93"/>
      <x:c r="N43" s="93"/>
      <x:c r="O43" s="93"/>
      <x:c r="P43" s="93"/>
      <x:c r="Q43" s="93"/>
    </x:row>
    <x:row r="44" ht="15">
      <x:c r="A44" s="93"/>
      <x:c r="B44" s="93"/>
      <x:c r="C44" s="93"/>
      <x:c r="D44" s="93"/>
      <x:c r="E44" s="93"/>
      <x:c r="F44" s="93"/>
      <x:c r="G44" s="93"/>
      <x:c r="H44" s="93"/>
      <x:c r="I44" s="93"/>
      <x:c r="J44" s="93"/>
      <x:c r="K44" s="93"/>
      <x:c r="L44" s="93"/>
      <x:c r="M44" s="93"/>
      <x:c r="N44" s="93"/>
      <x:c r="O44" s="93"/>
      <x:c r="P44" s="93"/>
      <x:c r="Q44" s="93"/>
    </x:row>
    <x:row r="45" ht="15">
      <x:c r="A45" s="93"/>
      <x:c r="B45" s="93"/>
      <x:c r="C45" s="93"/>
      <x:c r="D45" s="93"/>
      <x:c r="E45" s="93"/>
      <x:c r="F45" s="93"/>
      <x:c r="G45" s="93"/>
      <x:c r="H45" s="93"/>
      <x:c r="I45" s="93"/>
      <x:c r="J45" s="93"/>
      <x:c r="K45" s="93"/>
      <x:c r="L45" s="93"/>
      <x:c r="M45" s="93"/>
      <x:c r="N45" s="93"/>
      <x:c r="O45" s="93"/>
      <x:c r="P45" s="93"/>
      <x:c r="Q45" s="93"/>
    </x:row>
    <x:row r="46" ht="15">
      <x:c r="A46" s="93"/>
      <x:c r="B46" s="93"/>
      <x:c r="C46" s="93"/>
      <x:c r="D46" s="93"/>
      <x:c r="E46" s="93"/>
      <x:c r="F46" s="93"/>
      <x:c r="G46" s="93"/>
      <x:c r="H46" s="93"/>
      <x:c r="I46" s="93"/>
      <x:c r="J46" s="93"/>
      <x:c r="K46" s="93"/>
      <x:c r="L46" s="93"/>
      <x:c r="M46" s="93"/>
      <x:c r="N46" s="93"/>
      <x:c r="O46" s="93"/>
      <x:c r="P46" s="93"/>
      <x:c r="Q46" s="93"/>
    </x:row>
    <x:row r="47" ht="15">
      <x:c r="A47" s="93"/>
      <x:c r="B47" s="93"/>
      <x:c r="C47" s="93"/>
      <x:c r="D47" s="93"/>
      <x:c r="E47" s="93"/>
      <x:c r="F47" s="93"/>
      <x:c r="G47" s="93"/>
      <x:c r="H47" s="93"/>
      <x:c r="I47" s="93"/>
      <x:c r="J47" s="93"/>
      <x:c r="K47" s="93"/>
      <x:c r="L47" s="93"/>
      <x:c r="M47" s="93"/>
      <x:c r="N47" s="93"/>
      <x:c r="O47" s="93"/>
      <x:c r="P47" s="93"/>
      <x:c r="Q47" s="93"/>
    </x:row>
    <x:row r="48" ht="15">
      <x:c r="A48" s="93"/>
      <x:c r="B48" s="93"/>
      <x:c r="C48" s="93"/>
      <x:c r="D48" s="93"/>
      <x:c r="E48" s="93"/>
      <x:c r="F48" s="93"/>
      <x:c r="G48" s="93"/>
      <x:c r="H48" s="93"/>
      <x:c r="I48" s="93"/>
      <x:c r="J48" s="93"/>
      <x:c r="K48" s="93"/>
      <x:c r="L48" s="93"/>
      <x:c r="M48" s="93"/>
      <x:c r="N48" s="93"/>
      <x:c r="O48" s="93"/>
      <x:c r="P48" s="93"/>
      <x:c r="Q48" s="93"/>
    </x:row>
    <x:row r="49" ht="15">
      <x:c r="A49" s="93"/>
      <x:c r="B49" s="93"/>
      <x:c r="C49" s="93"/>
      <x:c r="D49" s="93"/>
      <x:c r="E49" s="93"/>
      <x:c r="F49" s="93"/>
      <x:c r="G49" s="93"/>
      <x:c r="H49" s="93"/>
      <x:c r="I49" s="93"/>
      <x:c r="J49" s="93"/>
      <x:c r="K49" s="93"/>
      <x:c r="L49" s="93"/>
      <x:c r="M49" s="93"/>
      <x:c r="N49" s="93"/>
      <x:c r="O49" s="93"/>
      <x:c r="P49" s="93"/>
      <x:c r="Q49" s="93"/>
    </x:row>
    <x:row r="50" ht="15">
      <x:c r="A50" s="93"/>
      <x:c r="B50" s="93"/>
      <x:c r="C50" s="93"/>
      <x:c r="D50" s="93"/>
      <x:c r="E50" s="93"/>
      <x:c r="F50" s="93"/>
      <x:c r="G50" s="93"/>
      <x:c r="H50" s="93"/>
      <x:c r="I50" s="93"/>
      <x:c r="J50" s="93"/>
      <x:c r="K50" s="93"/>
      <x:c r="L50" s="93"/>
      <x:c r="M50" s="93"/>
      <x:c r="N50" s="93"/>
      <x:c r="O50" s="93"/>
      <x:c r="P50" s="93"/>
      <x:c r="Q50" s="93"/>
    </x:row>
    <x:row r="51" ht="15">
      <x:c r="A51" s="93"/>
      <x:c r="B51" s="93"/>
      <x:c r="C51" s="93"/>
      <x:c r="D51" s="93"/>
      <x:c r="E51" s="93"/>
      <x:c r="F51" s="93"/>
      <x:c r="G51" s="93"/>
      <x:c r="H51" s="93"/>
      <x:c r="I51" s="93"/>
      <x:c r="J51" s="93"/>
      <x:c r="K51" s="93"/>
      <x:c r="L51" s="93"/>
      <x:c r="M51" s="93"/>
      <x:c r="N51" s="93"/>
      <x:c r="O51" s="93"/>
      <x:c r="P51" s="93"/>
      <x:c r="Q51" s="93"/>
    </x:row>
    <x:row r="52" ht="15">
      <x:c r="A52" s="93"/>
      <x:c r="B52" s="93"/>
      <x:c r="C52" s="93"/>
      <x:c r="D52" s="93"/>
      <x:c r="E52" s="93"/>
      <x:c r="F52" s="93"/>
      <x:c r="G52" s="93"/>
      <x:c r="H52" s="93"/>
      <x:c r="I52" s="93"/>
      <x:c r="J52" s="93"/>
      <x:c r="K52" s="93"/>
      <x:c r="L52" s="93"/>
      <x:c r="M52" s="93"/>
      <x:c r="N52" s="93"/>
      <x:c r="O52" s="93"/>
      <x:c r="P52" s="93"/>
      <x:c r="Q52" s="93"/>
    </x:row>
    <x:row r="53" ht="15">
      <x:c r="A53" s="93"/>
      <x:c r="B53" s="93"/>
      <x:c r="C53" s="93"/>
      <x:c r="D53" s="93"/>
      <x:c r="E53" s="93"/>
      <x:c r="F53" s="93"/>
      <x:c r="G53" s="93"/>
      <x:c r="H53" s="93"/>
      <x:c r="I53" s="93"/>
      <x:c r="J53" s="93"/>
      <x:c r="K53" s="93"/>
      <x:c r="L53" s="93"/>
      <x:c r="M53" s="93"/>
      <x:c r="N53" s="93"/>
      <x:c r="O53" s="93"/>
      <x:c r="P53" s="93"/>
      <x:c r="Q53" s="93"/>
    </x:row>
    <x:row r="54" ht="15">
      <x:c r="A54" s="93"/>
      <x:c r="B54" s="93"/>
      <x:c r="C54" s="93"/>
      <x:c r="D54" s="93"/>
      <x:c r="E54" s="93"/>
      <x:c r="F54" s="93"/>
      <x:c r="G54" s="93"/>
      <x:c r="H54" s="93"/>
      <x:c r="I54" s="93"/>
      <x:c r="J54" s="93"/>
      <x:c r="K54" s="93"/>
      <x:c r="L54" s="93"/>
      <x:c r="M54" s="93"/>
      <x:c r="N54" s="93"/>
      <x:c r="O54" s="93"/>
      <x:c r="P54" s="93"/>
      <x:c r="Q54" s="93"/>
    </x:row>
    <x:row r="55" ht="15">
      <x:c r="A55" s="93"/>
      <x:c r="B55" s="93"/>
      <x:c r="C55" s="93"/>
      <x:c r="D55" s="93"/>
      <x:c r="E55" s="93"/>
      <x:c r="F55" s="93"/>
      <x:c r="G55" s="93"/>
      <x:c r="H55" s="93"/>
      <x:c r="I55" s="93"/>
      <x:c r="J55" s="93"/>
      <x:c r="K55" s="93"/>
      <x:c r="L55" s="93"/>
      <x:c r="M55" s="93"/>
      <x:c r="N55" s="93"/>
      <x:c r="O55" s="93"/>
      <x:c r="P55" s="93"/>
      <x:c r="Q55" s="93"/>
    </x:row>
    <x:row r="56" ht="15">
      <x:c r="A56" s="93"/>
      <x:c r="B56" s="93"/>
      <x:c r="C56" s="93"/>
      <x:c r="D56" s="93"/>
      <x:c r="E56" s="93"/>
      <x:c r="F56" s="93"/>
      <x:c r="G56" s="93"/>
      <x:c r="H56" s="93"/>
      <x:c r="I56" s="93"/>
      <x:c r="J56" s="93"/>
      <x:c r="K56" s="93"/>
      <x:c r="L56" s="93"/>
      <x:c r="M56" s="93"/>
      <x:c r="N56" s="93"/>
      <x:c r="O56" s="93"/>
      <x:c r="P56" s="93"/>
      <x:c r="Q56" s="93"/>
    </x:row>
    <x:row r="57" ht="15">
      <x:c r="A57" s="93"/>
      <x:c r="B57" s="93"/>
      <x:c r="C57" s="93"/>
      <x:c r="D57" s="93"/>
      <x:c r="E57" s="93"/>
      <x:c r="F57" s="93"/>
      <x:c r="G57" s="93"/>
      <x:c r="H57" s="93"/>
      <x:c r="I57" s="93"/>
      <x:c r="J57" s="93"/>
      <x:c r="K57" s="93"/>
      <x:c r="L57" s="93"/>
      <x:c r="M57" s="93"/>
      <x:c r="N57" s="93"/>
      <x:c r="O57" s="93"/>
      <x:c r="P57" s="93"/>
      <x:c r="Q57" s="93"/>
    </x:row>
    <x:row r="58" ht="15">
      <x:c r="A58" s="93"/>
      <x:c r="B58" s="93"/>
      <x:c r="C58" s="93"/>
      <x:c r="D58" s="93"/>
      <x:c r="E58" s="93"/>
      <x:c r="F58" s="93"/>
      <x:c r="G58" s="93"/>
      <x:c r="H58" s="93"/>
      <x:c r="I58" s="93"/>
      <x:c r="J58" s="93"/>
      <x:c r="K58" s="93"/>
      <x:c r="L58" s="93"/>
      <x:c r="M58" s="93"/>
      <x:c r="N58" s="93"/>
      <x:c r="O58" s="93"/>
      <x:c r="P58" s="93"/>
      <x:c r="Q58" s="93"/>
    </x:row>
    <x:row r="59" ht="15">
      <x:c r="A59" s="93"/>
      <x:c r="B59" s="93"/>
      <x:c r="C59" s="93"/>
      <x:c r="D59" s="93"/>
      <x:c r="E59" s="93"/>
      <x:c r="F59" s="93"/>
      <x:c r="G59" s="93"/>
      <x:c r="H59" s="93"/>
      <x:c r="I59" s="93"/>
      <x:c r="J59" s="93"/>
      <x:c r="K59" s="93"/>
      <x:c r="L59" s="93"/>
      <x:c r="M59" s="93"/>
      <x:c r="N59" s="93"/>
      <x:c r="O59" s="93"/>
      <x:c r="P59" s="93"/>
      <x:c r="Q59" s="93"/>
    </x:row>
    <x:row r="60" ht="15">
      <x:c r="A60" s="93"/>
      <x:c r="B60" s="93"/>
      <x:c r="C60" s="93"/>
      <x:c r="D60" s="93"/>
      <x:c r="E60" s="93"/>
      <x:c r="F60" s="93"/>
      <x:c r="G60" s="93"/>
      <x:c r="H60" s="93"/>
      <x:c r="I60" s="93"/>
      <x:c r="J60" s="93"/>
      <x:c r="K60" s="93"/>
      <x:c r="L60" s="93"/>
      <x:c r="M60" s="93"/>
      <x:c r="N60" s="93"/>
      <x:c r="O60" s="93"/>
      <x:c r="P60" s="93"/>
      <x:c r="Q60" s="93"/>
    </x:row>
  </x:sheetData>
  <x:mergeCells>
    <x:mergeCell ref="A1:M1"/>
    <x:mergeCell ref="A2:M2"/>
  </x:mergeCells>
  <x:conditionalFormatting sqref="E6:E16">
    <x:cfRule type="dataBar" priority="1">
      <x:dataBar>
        <x:cfvo type="min"/>
        <x:cfvo type="max"/>
        <x:color rgb="FFE7483D"/>
      </x:dataBar>
      <x:extLst>
        <x:ext xmlns:x14="http://schemas.microsoft.com/office/spreadsheetml/2009/9/main" uri="{B025F937-C7B1-47D3-B67F-A62EFF666E3E}">
          <x14:id>{63FF42EB-6128-26CF-245D-9E610F30FD89}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cd10a5d832784c82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63FF42EB-6128-26CF-245D-9E610F30FD89}">
            <x14:dataBar gradient="1">
              <x14:cfvo type="min"/>
              <x14:cfvo type="max"/>
              <x14:fillColor rgb="FFE7483D"/>
            </x14:dataBar>
          </x14:cfRule>
          <xm:sqref>E6:E16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4.25"/>
  <x:cols>
    <x:col min="1" max="1" width="19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8" hidden="0" customWidth="1"/>
    <x:col min="8" max="12" width="14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</x:cols>
  <x:sheetData>
    <x:row r="1" ht="30" customHeight="1">
      <x:c r="A1" s="174" t="str">
        <x:v>Zomato India | Cuisine / Category Performance</x:v>
      </x:c>
      <x:c r="B1" s="237"/>
      <x:c r="C1" s="237"/>
      <x:c r="D1" s="237"/>
      <x:c r="E1" s="237"/>
      <x:c r="F1" s="237"/>
      <x:c r="G1" s="237"/>
      <x:c r="H1" s="238"/>
      <x:c r="I1" s="238"/>
      <x:c r="J1" s="238"/>
      <x:c r="K1" s="238"/>
      <x:c r="L1" s="238"/>
      <x:c r="M1" s="239"/>
      <x:c r="N1" s="239"/>
      <x:c r="O1" s="239"/>
      <x:c r="P1" s="239"/>
      <x:c r="Q1" s="239"/>
      <x:c r="R1" s="239"/>
      <x:c r="S1" s="239"/>
      <x:c r="T1" s="239"/>
      <x:c r="U1" s="239"/>
      <x:c r="V1" s="239"/>
      <x:c r="W1" s="239"/>
      <x:c r="X1" s="239"/>
      <x:c r="Y1" s="239"/>
      <x:c r="Z1" s="239"/>
    </x:row>
    <x:row r="2" ht="20.100000381469727" customHeight="1">
      <x:c r="A2" s="222" t="str">
        <x:v>Category-level revenue, profitability and unit economics</x:v>
      </x:c>
      <x:c r="B2" s="222"/>
      <x:c r="C2" s="222"/>
      <x:c r="D2" s="222"/>
      <x:c r="E2" s="222"/>
      <x:c r="F2" s="222"/>
      <x:c r="G2" s="222"/>
      <x:c r="H2" s="93"/>
      <x:c r="I2" s="93"/>
      <x:c r="J2" s="93"/>
      <x:c r="K2" s="93"/>
      <x:c r="L2" s="93"/>
    </x:row>
    <x:row r="3" ht="15">
      <x:c r="A3" s="222"/>
      <x:c r="B3" s="222"/>
      <x:c r="C3" s="222"/>
      <x:c r="D3" s="222"/>
      <x:c r="E3" s="222"/>
      <x:c r="F3" s="222"/>
      <x:c r="G3" s="222"/>
      <x:c r="H3" s="93"/>
      <x:c r="I3" s="93"/>
      <x:c r="J3" s="93"/>
      <x:c r="K3" s="93"/>
      <x:c r="L3" s="93"/>
    </x:row>
    <x:row r="4" ht="15">
      <x:c r="A4" s="201" t="str">
        <x:v>Cuisine / Category</x:v>
      </x:c>
      <x:c r="B4" s="201" t="str">
        <x:v>Revenue (₹ Cr)</x:v>
      </x:c>
      <x:c r="C4" s="201" t="str">
        <x:v>Gross Profit (₹ Cr)</x:v>
      </x:c>
      <x:c r="D4" s="201" t="str">
        <x:v>Net Profit (₹ Cr)</x:v>
      </x:c>
      <x:c r="E4" s="201" t="str">
        <x:v>Orders</x:v>
      </x:c>
      <x:c r="F4" s="201" t="str">
        <x:v>Margin %</x:v>
      </x:c>
      <x:c r="G4" s="201" t="str">
        <x:v>Rank</x:v>
      </x:c>
      <x:c r="H4" s="201"/>
      <x:c r="I4" s="201"/>
      <x:c r="J4" s="201"/>
      <x:c r="K4" s="201"/>
      <x:c r="L4" s="201"/>
      <x:c r="M4" s="204"/>
      <x:c r="N4" s="204"/>
      <x:c r="O4" s="204"/>
      <x:c r="P4" s="204"/>
      <x:c r="Q4" s="204"/>
      <x:c r="R4" s="204"/>
      <x:c r="S4" s="204"/>
      <x:c r="T4" s="204"/>
      <x:c r="U4" s="204"/>
      <x:c r="V4" s="204"/>
      <x:c r="W4" s="204"/>
      <x:c r="X4" s="204"/>
      <x:c r="Y4" s="204"/>
      <x:c r="Z4" s="204"/>
    </x:row>
    <x:row r="5" ht="15">
      <x:c r="A5" s="187" t="str">
        <x:v>North Indian</x:v>
      </x:c>
      <x:c r="B5" s="224" t="n">
        <x:f>SUMIFS('Sales Transactions'!$L$5:$L$364,'Sales Transactions'!$E$5:$E$364,A5)/10000000</x:f>
        <x:v>0.279011905</x:v>
      </x:c>
      <x:c r="C5" s="224" t="n">
        <x:f>SUMIFS('Sales Transactions'!$N$5:$N$364,'Sales Transactions'!$E$5:$E$364,A5)/10000000</x:f>
        <x:v>0.07533321435000002</x:v>
      </x:c>
      <x:c r="D5" s="224" t="n">
        <x:f>SUMIFS('Sales Transactions'!$P$5:$P$364,'Sales Transactions'!$E$5:$E$364,A5)/10000000</x:f>
        <x:v>0.039061666700000004</x:v>
      </x:c>
      <x:c r="E5" s="228" t="n">
        <x:f>SUMIFS('Sales Transactions'!$H$5:$H$364,'Sales Transactions'!$E$5:$E$364,A5)</x:f>
        <x:v>5698</x:v>
      </x:c>
      <x:c r="F5" s="191" t="n">
        <x:f t="shared" ref="F5:F14" si="0">IFERROR(D5/B5,0)</x:f>
        <x:v>0.14</x:v>
      </x:c>
      <x:c r="G5" s="187" t="n">
        <x:f t="shared" ref="G5:G14" si="1">RANK(B5,$B$5:$B$14,0)</x:f>
        <x:v>1</x:v>
      </x:c>
      <x:c r="H5" s="93"/>
      <x:c r="I5" s="93"/>
      <x:c r="J5" s="93"/>
      <x:c r="K5" s="93"/>
      <x:c r="L5" s="93"/>
    </x:row>
    <x:row r="6" ht="15">
      <x:c r="A6" s="187" t="str">
        <x:v>Biryani</x:v>
      </x:c>
      <x:c r="B6" s="224" t="n">
        <x:f>SUMIFS('Sales Transactions'!$L$5:$L$364,'Sales Transactions'!$E$5:$E$364,A6)/10000000</x:f>
        <x:v>0.178376201</x:v>
      </x:c>
      <x:c r="C6" s="224" t="n">
        <x:f>SUMIFS('Sales Transactions'!$N$5:$N$364,'Sales Transactions'!$E$5:$E$364,A6)/10000000</x:f>
        <x:v>0.04637781225999999</x:v>
      </x:c>
      <x:c r="D6" s="224" t="n">
        <x:f>SUMIFS('Sales Transactions'!$P$5:$P$364,'Sales Transactions'!$E$5:$E$364,A6)/10000000</x:f>
        <x:v>0.023188906129999996</x:v>
      </x:c>
      <x:c r="E6" s="228" t="n">
        <x:f>SUMIFS('Sales Transactions'!$H$5:$H$364,'Sales Transactions'!$E$5:$E$364,A6)</x:f>
        <x:v>4117</x:v>
      </x:c>
      <x:c r="F6" s="191" t="n">
        <x:f t="shared" si="0">IFERROR(D6/B6,0)</x:f>
        <x:v>0.12999999999999998</x:v>
      </x:c>
      <x:c r="G6" s="187" t="n">
        <x:f t="shared" si="1">RANK(B6,$B$5:$B$14,0)</x:f>
        <x:v>4</x:v>
      </x:c>
      <x:c r="H6" s="93"/>
      <x:c r="I6" s="93"/>
      <x:c r="J6" s="93"/>
      <x:c r="K6" s="93"/>
      <x:c r="L6" s="93"/>
    </x:row>
    <x:row r="7" ht="15">
      <x:c r="A7" s="187" t="str">
        <x:v>Pizza</x:v>
      </x:c>
      <x:c r="B7" s="224" t="n">
        <x:f>SUMIFS('Sales Transactions'!$L$5:$L$364,'Sales Transactions'!$E$5:$E$364,A7)/10000000</x:f>
        <x:v>0.264318656</x:v>
      </x:c>
      <x:c r="C7" s="224" t="n">
        <x:f>SUMIFS('Sales Transactions'!$N$5:$N$364,'Sales Transactions'!$E$5:$E$364,A7)/10000000</x:f>
        <x:v>0.06872285055999999</x:v>
      </x:c>
      <x:c r="D7" s="224" t="n">
        <x:f>SUMIFS('Sales Transactions'!$P$5:$P$364,'Sales Transactions'!$E$5:$E$364,A7)/10000000</x:f>
        <x:v>0.034361425279999996</x:v>
      </x:c>
      <x:c r="E7" s="228" t="n">
        <x:f>SUMIFS('Sales Transactions'!$H$5:$H$364,'Sales Transactions'!$E$5:$E$364,A7)</x:f>
        <x:v>4418</x:v>
      </x:c>
      <x:c r="F7" s="191" t="n">
        <x:f t="shared" si="0">IFERROR(D7/B7,0)</x:f>
        <x:v>0.13</x:v>
      </x:c>
      <x:c r="G7" s="187" t="n">
        <x:f t="shared" si="1">RANK(B7,$B$5:$B$14,0)</x:f>
        <x:v>2</x:v>
      </x:c>
      <x:c r="H7" s="93"/>
      <x:c r="I7" s="93"/>
      <x:c r="J7" s="93"/>
      <x:c r="K7" s="93"/>
      <x:c r="L7" s="93"/>
    </x:row>
    <x:row r="8" ht="15">
      <x:c r="A8" s="187" t="str">
        <x:v>South Indian</x:v>
      </x:c>
      <x:c r="B8" s="224" t="n">
        <x:f>SUMIFS('Sales Transactions'!$L$5:$L$364,'Sales Transactions'!$E$5:$E$364,A8)/10000000</x:f>
        <x:v>0.17369714699999994</x:v>
      </x:c>
      <x:c r="C8" s="224" t="n">
        <x:f>SUMIFS('Sales Transactions'!$N$5:$N$364,'Sales Transactions'!$E$5:$E$364,A8)/10000000</x:f>
        <x:v>0.045161258220000014</x:v>
      </x:c>
      <x:c r="D8" s="224" t="n">
        <x:f>SUMIFS('Sales Transactions'!$P$5:$P$364,'Sales Transactions'!$E$5:$E$364,A8)/10000000</x:f>
        <x:v>0.022580629110000004</x:v>
      </x:c>
      <x:c r="E8" s="228" t="n">
        <x:f>SUMIFS('Sales Transactions'!$H$5:$H$364,'Sales Transactions'!$E$5:$E$364,A8)</x:f>
        <x:v>4960</x:v>
      </x:c>
      <x:c r="F8" s="191" t="n">
        <x:f t="shared" si="0">IFERROR(D8/B8,0)</x:f>
        <x:v>0.13000000000000006</x:v>
      </x:c>
      <x:c r="G8" s="187" t="n">
        <x:f t="shared" si="1">RANK(B8,$B$5:$B$14,0)</x:f>
        <x:v>5</x:v>
      </x:c>
      <x:c r="H8" s="93"/>
      <x:c r="I8" s="93"/>
      <x:c r="J8" s="93"/>
      <x:c r="K8" s="93"/>
      <x:c r="L8" s="93"/>
    </x:row>
    <x:row r="9" ht="15">
      <x:c r="A9" s="187" t="str">
        <x:v>Chinese</x:v>
      </x:c>
      <x:c r="B9" s="224" t="n">
        <x:f>SUMIFS('Sales Transactions'!$L$5:$L$364,'Sales Transactions'!$E$5:$E$364,A9)/10000000</x:f>
        <x:v>0.22066612399999996</x:v>
      </x:c>
      <x:c r="C9" s="224" t="n">
        <x:f>SUMIFS('Sales Transactions'!$N$5:$N$364,'Sales Transactions'!$E$5:$E$364,A9)/10000000</x:f>
        <x:v>0.057373192240000016</x:v>
      </x:c>
      <x:c r="D9" s="224" t="n">
        <x:f>SUMIFS('Sales Transactions'!$P$5:$P$364,'Sales Transactions'!$E$5:$E$364,A9)/10000000</x:f>
        <x:v>0.02868659612</x:v>
      </x:c>
      <x:c r="E9" s="228" t="n">
        <x:f>SUMIFS('Sales Transactions'!$H$5:$H$364,'Sales Transactions'!$E$5:$E$364,A9)</x:f>
        <x:v>5225</x:v>
      </x:c>
      <x:c r="F9" s="191" t="n">
        <x:f t="shared" si="0">IFERROR(D9/B9,0)</x:f>
        <x:v>0.13000000000000003</x:v>
      </x:c>
      <x:c r="G9" s="187" t="n">
        <x:f t="shared" si="1">RANK(B9,$B$5:$B$14,0)</x:f>
        <x:v>3</x:v>
      </x:c>
      <x:c r="H9" s="93"/>
      <x:c r="I9" s="93"/>
      <x:c r="J9" s="93"/>
      <x:c r="K9" s="93"/>
      <x:c r="L9" s="93"/>
    </x:row>
    <x:row r="10" ht="15">
      <x:c r="A10" s="187" t="str">
        <x:v>Burgers</x:v>
      </x:c>
      <x:c r="B10" s="224" t="n">
        <x:f>SUMIFS('Sales Transactions'!$L$5:$L$364,'Sales Transactions'!$E$5:$E$364,A10)/10000000</x:f>
        <x:v>0.161085065</x:v>
      </x:c>
      <x:c r="C10" s="224" t="n">
        <x:f>SUMIFS('Sales Transactions'!$N$5:$N$364,'Sales Transactions'!$E$5:$E$364,A10)/10000000</x:f>
        <x:v>0.04188211690000002</x:v>
      </x:c>
      <x:c r="D10" s="224" t="n">
        <x:f>SUMIFS('Sales Transactions'!$P$5:$P$364,'Sales Transactions'!$E$5:$E$364,A10)/10000000</x:f>
        <x:v>0.02094105845000001</x:v>
      </x:c>
      <x:c r="E10" s="228" t="n">
        <x:f>SUMIFS('Sales Transactions'!$H$5:$H$364,'Sales Transactions'!$E$5:$E$364,A10)</x:f>
        <x:v>3977</x:v>
      </x:c>
      <x:c r="F10" s="191" t="n">
        <x:f t="shared" si="0">IFERROR(D10/B10,0)</x:f>
        <x:v>0.13000000000000006</x:v>
      </x:c>
      <x:c r="G10" s="187" t="n">
        <x:f t="shared" si="1">RANK(B10,$B$5:$B$14,0)</x:f>
        <x:v>6</x:v>
      </x:c>
      <x:c r="H10" s="93"/>
      <x:c r="I10" s="93"/>
      <x:c r="J10" s="93"/>
      <x:c r="K10" s="93"/>
      <x:c r="L10" s="93"/>
    </x:row>
    <x:row r="11" ht="15">
      <x:c r="A11" s="187" t="str">
        <x:v>Desserts</x:v>
      </x:c>
      <x:c r="B11" s="224" t="n">
        <x:f>SUMIFS('Sales Transactions'!$L$5:$L$364,'Sales Transactions'!$E$5:$E$364,A11)/10000000</x:f>
        <x:v>0.096518988</x:v>
      </x:c>
      <x:c r="C11" s="224" t="n">
        <x:f>SUMIFS('Sales Transactions'!$N$5:$N$364,'Sales Transactions'!$E$5:$E$364,A11)/10000000</x:f>
        <x:v>0.029920886280000007</x:v>
      </x:c>
      <x:c r="D11" s="224" t="n">
        <x:f>SUMIFS('Sales Transactions'!$P$5:$P$364,'Sales Transactions'!$E$5:$E$364,A11)/10000000</x:f>
        <x:v>0.017373417840000002</x:v>
      </x:c>
      <x:c r="E11" s="228" t="n">
        <x:f>SUMIFS('Sales Transactions'!$H$5:$H$364,'Sales Transactions'!$E$5:$E$364,A11)</x:f>
        <x:v>3410</x:v>
      </x:c>
      <x:c r="F11" s="191" t="n">
        <x:f t="shared" si="0">IFERROR(D11/B11,0)</x:f>
        <x:v>0.18000000000000002</x:v>
      </x:c>
      <x:c r="G11" s="187" t="n">
        <x:f t="shared" si="1">RANK(B11,$B$5:$B$14,0)</x:f>
        <x:v>8</x:v>
      </x:c>
      <x:c r="H11" s="93"/>
      <x:c r="I11" s="93"/>
      <x:c r="J11" s="93"/>
      <x:c r="K11" s="93"/>
      <x:c r="L11" s="93"/>
    </x:row>
    <x:row r="12" ht="15">
      <x:c r="A12" s="187" t="str">
        <x:v>Healthy</x:v>
      </x:c>
      <x:c r="B12" s="224" t="n">
        <x:f>SUMIFS('Sales Transactions'!$L$5:$L$364,'Sales Transactions'!$E$5:$E$364,A12)/10000000</x:f>
        <x:v>0.10596051499999999</x:v>
      </x:c>
      <x:c r="C12" s="224" t="n">
        <x:f>SUMIFS('Sales Transactions'!$N$5:$N$364,'Sales Transactions'!$E$5:$E$364,A12)/10000000</x:f>
        <x:v>0.031788154500000006</x:v>
      </x:c>
      <x:c r="D12" s="224" t="n">
        <x:f>SUMIFS('Sales Transactions'!$P$5:$P$364,'Sales Transactions'!$E$5:$E$364,A12)/10000000</x:f>
        <x:v>0.018013287550000003</x:v>
      </x:c>
      <x:c r="E12" s="228" t="n">
        <x:f>SUMIFS('Sales Transactions'!$H$5:$H$364,'Sales Transactions'!$E$5:$E$364,A12)</x:f>
        <x:v>2795</x:v>
      </x:c>
      <x:c r="F12" s="191" t="n">
        <x:f t="shared" si="0">IFERROR(D12/B12,0)</x:f>
        <x:v>0.17000000000000004</x:v>
      </x:c>
      <x:c r="G12" s="187" t="n">
        <x:f t="shared" si="1">RANK(B12,$B$5:$B$14,0)</x:f>
        <x:v>7</x:v>
      </x:c>
      <x:c r="H12" s="93"/>
      <x:c r="I12" s="93"/>
      <x:c r="J12" s="93"/>
      <x:c r="K12" s="93"/>
      <x:c r="L12" s="93"/>
    </x:row>
    <x:row r="13" ht="15">
      <x:c r="A13" s="187" t="str">
        <x:v>Beverages</x:v>
      </x:c>
      <x:c r="B13" s="224" t="n">
        <x:f>SUMIFS('Sales Transactions'!$L$5:$L$364,'Sales Transactions'!$E$5:$E$364,A13)/10000000</x:f>
        <x:v>0.046967286999999996</x:v>
      </x:c>
      <x:c r="C13" s="224" t="n">
        <x:f>SUMIFS('Sales Transactions'!$N$5:$N$364,'Sales Transactions'!$E$5:$E$364,A13)/10000000</x:f>
        <x:v>0.015029531840000004</x:v>
      </x:c>
      <x:c r="D13" s="224" t="n">
        <x:f>SUMIFS('Sales Transactions'!$P$5:$P$364,'Sales Transactions'!$E$5:$E$364,A13)/10000000</x:f>
        <x:v>0.008923784530000001</x:v>
      </x:c>
      <x:c r="E13" s="228" t="n">
        <x:f>SUMIFS('Sales Transactions'!$H$5:$H$364,'Sales Transactions'!$E$5:$E$364,A13)</x:f>
        <x:v>2111</x:v>
      </x:c>
      <x:c r="F13" s="191" t="n">
        <x:f t="shared" si="0">IFERROR(D13/B13,0)</x:f>
        <x:v>0.19000000000000003</x:v>
      </x:c>
      <x:c r="G13" s="187" t="n">
        <x:f t="shared" si="1">RANK(B13,$B$5:$B$14,0)</x:f>
        <x:v>10</x:v>
      </x:c>
      <x:c r="H13" s="93"/>
      <x:c r="I13" s="93"/>
      <x:c r="J13" s="93"/>
      <x:c r="K13" s="93"/>
      <x:c r="L13" s="93"/>
    </x:row>
    <x:row r="14" ht="15">
      <x:c r="A14" s="187" t="str">
        <x:v>Snacks</x:v>
      </x:c>
      <x:c r="B14" s="224" t="n">
        <x:f>SUMIFS('Sales Transactions'!$L$5:$L$364,'Sales Transactions'!$E$5:$E$364,A14)/10000000</x:f>
        <x:v>0.08627769099999999</x:v>
      </x:c>
      <x:c r="C14" s="224" t="n">
        <x:f>SUMIFS('Sales Transactions'!$N$5:$N$364,'Sales Transactions'!$E$5:$E$364,A14)/10000000</x:f>
        <x:v>0.022432199660000006</x:v>
      </x:c>
      <x:c r="D14" s="224" t="n">
        <x:f>SUMIFS('Sales Transactions'!$P$5:$P$364,'Sales Transactions'!$E$5:$E$364,A14)/10000000</x:f>
        <x:v>0.011216099830000001</x:v>
      </x:c>
      <x:c r="E14" s="228" t="n">
        <x:f>SUMIFS('Sales Transactions'!$H$5:$H$364,'Sales Transactions'!$E$5:$E$364,A14)</x:f>
        <x:v>3672</x:v>
      </x:c>
      <x:c r="F14" s="191" t="n">
        <x:f t="shared" si="0">IFERROR(D14/B14,0)</x:f>
        <x:v>0.13000000000000003</x:v>
      </x:c>
      <x:c r="G14" s="187" t="n">
        <x:f t="shared" si="1">RANK(B14,$B$5:$B$14,0)</x:f>
        <x:v>9</x:v>
      </x:c>
      <x:c r="H14" s="93"/>
      <x:c r="I14" s="93"/>
      <x:c r="J14" s="93"/>
      <x:c r="K14" s="93"/>
      <x:c r="L14" s="93"/>
    </x:row>
    <x:row r="15" ht="15">
      <x:c r="A15" s="93"/>
      <x:c r="B15" s="93"/>
      <x:c r="C15" s="93"/>
      <x:c r="D15" s="93"/>
      <x:c r="E15" s="93"/>
      <x:c r="F15" s="93"/>
      <x:c r="G15" s="93"/>
      <x:c r="H15" s="93"/>
      <x:c r="I15" s="93"/>
      <x:c r="J15" s="93"/>
      <x:c r="K15" s="93"/>
      <x:c r="L15" s="93"/>
    </x:row>
    <x:row r="16" ht="15">
      <x:c r="A16" s="93"/>
      <x:c r="B16" s="93"/>
      <x:c r="C16" s="93"/>
      <x:c r="D16" s="93"/>
      <x:c r="E16" s="93"/>
      <x:c r="F16" s="93"/>
      <x:c r="G16" s="93"/>
      <x:c r="H16" s="93"/>
      <x:c r="I16" s="93"/>
      <x:c r="J16" s="93"/>
      <x:c r="K16" s="93"/>
      <x:c r="L16" s="93"/>
    </x:row>
    <x:row r="17" ht="15">
      <x:c r="A17" s="93"/>
      <x:c r="B17" s="93"/>
      <x:c r="C17" s="93"/>
      <x:c r="D17" s="93"/>
      <x:c r="E17" s="93"/>
      <x:c r="F17" s="93"/>
      <x:c r="G17" s="93"/>
      <x:c r="H17" s="93"/>
      <x:c r="I17" s="93"/>
      <x:c r="J17" s="93"/>
      <x:c r="K17" s="93"/>
      <x:c r="L17" s="93"/>
    </x:row>
    <x:row r="18" ht="15">
      <x:c r="A18" s="93"/>
      <x:c r="B18" s="93"/>
      <x:c r="C18" s="93"/>
      <x:c r="D18" s="93"/>
      <x:c r="E18" s="93"/>
      <x:c r="F18" s="93"/>
      <x:c r="G18" s="93"/>
      <x:c r="H18" s="93"/>
      <x:c r="I18" s="93"/>
      <x:c r="J18" s="93"/>
      <x:c r="K18" s="93"/>
      <x:c r="L18" s="93"/>
    </x:row>
    <x:row r="19" ht="15">
      <x:c r="A19" s="93"/>
      <x:c r="B19" s="93"/>
      <x:c r="C19" s="93"/>
      <x:c r="D19" s="93"/>
      <x:c r="E19" s="93"/>
      <x:c r="F19" s="93"/>
      <x:c r="G19" s="93"/>
      <x:c r="H19" s="93"/>
      <x:c r="I19" s="93"/>
      <x:c r="J19" s="93"/>
      <x:c r="K19" s="93"/>
      <x:c r="L19" s="93"/>
    </x:row>
    <x:row r="20" ht="15">
      <x:c r="A20" s="93"/>
      <x:c r="B20" s="93"/>
      <x:c r="C20" s="93"/>
      <x:c r="D20" s="93"/>
      <x:c r="E20" s="93"/>
      <x:c r="F20" s="93"/>
      <x:c r="G20" s="93"/>
      <x:c r="H20" s="93"/>
      <x:c r="I20" s="93"/>
      <x:c r="J20" s="93"/>
      <x:c r="K20" s="93"/>
      <x:c r="L20" s="93"/>
    </x:row>
    <x:row r="21" ht="15">
      <x:c r="A21" s="93"/>
      <x:c r="B21" s="93"/>
      <x:c r="C21" s="93"/>
      <x:c r="D21" s="93"/>
      <x:c r="E21" s="93"/>
      <x:c r="F21" s="93"/>
      <x:c r="G21" s="93"/>
      <x:c r="H21" s="93"/>
      <x:c r="I21" s="93"/>
      <x:c r="J21" s="93"/>
      <x:c r="K21" s="93"/>
      <x:c r="L21" s="93"/>
    </x:row>
    <x:row r="22" ht="15">
      <x:c r="A22" s="93"/>
      <x:c r="B22" s="93"/>
      <x:c r="C22" s="93"/>
      <x:c r="D22" s="93"/>
      <x:c r="E22" s="93"/>
      <x:c r="F22" s="93"/>
      <x:c r="G22" s="93"/>
      <x:c r="H22" s="93"/>
      <x:c r="I22" s="93"/>
      <x:c r="J22" s="93"/>
      <x:c r="K22" s="93"/>
      <x:c r="L22" s="93"/>
    </x:row>
    <x:row r="23" ht="15">
      <x:c r="A23" s="93"/>
      <x:c r="B23" s="93"/>
      <x:c r="C23" s="93"/>
      <x:c r="D23" s="93"/>
      <x:c r="E23" s="93"/>
      <x:c r="F23" s="93"/>
      <x:c r="G23" s="93"/>
      <x:c r="H23" s="93"/>
      <x:c r="I23" s="93"/>
      <x:c r="J23" s="93"/>
      <x:c r="K23" s="93"/>
      <x:c r="L23" s="93"/>
    </x:row>
    <x:row r="24" ht="15">
      <x:c r="A24" s="93"/>
      <x:c r="B24" s="93"/>
      <x:c r="C24" s="93"/>
      <x:c r="D24" s="93"/>
      <x:c r="E24" s="93"/>
      <x:c r="F24" s="93"/>
      <x:c r="G24" s="93"/>
      <x:c r="H24" s="93"/>
      <x:c r="I24" s="93"/>
      <x:c r="J24" s="93"/>
      <x:c r="K24" s="93"/>
      <x:c r="L24" s="93"/>
    </x:row>
    <x:row r="25" ht="15">
      <x:c r="A25" s="93"/>
      <x:c r="B25" s="93"/>
      <x:c r="C25" s="93"/>
      <x:c r="D25" s="93"/>
      <x:c r="E25" s="93"/>
      <x:c r="F25" s="93"/>
      <x:c r="G25" s="93"/>
      <x:c r="H25" s="93"/>
      <x:c r="I25" s="93"/>
      <x:c r="J25" s="93"/>
      <x:c r="K25" s="93"/>
      <x:c r="L25" s="93"/>
    </x:row>
    <x:row r="26" ht="15">
      <x:c r="A26" s="93"/>
      <x:c r="B26" s="93"/>
      <x:c r="C26" s="93"/>
      <x:c r="D26" s="93"/>
      <x:c r="E26" s="93"/>
      <x:c r="F26" s="93"/>
      <x:c r="G26" s="93"/>
      <x:c r="H26" s="93"/>
      <x:c r="I26" s="93"/>
      <x:c r="J26" s="93"/>
      <x:c r="K26" s="93"/>
      <x:c r="L26" s="93"/>
    </x:row>
    <x:row r="27" ht="15">
      <x:c r="A27" s="93"/>
      <x:c r="B27" s="93"/>
      <x:c r="C27" s="93"/>
      <x:c r="D27" s="93"/>
      <x:c r="E27" s="93"/>
      <x:c r="F27" s="93"/>
      <x:c r="G27" s="93"/>
      <x:c r="H27" s="93"/>
      <x:c r="I27" s="93"/>
      <x:c r="J27" s="93"/>
      <x:c r="K27" s="93"/>
      <x:c r="L27" s="93"/>
    </x:row>
    <x:row r="28" ht="15">
      <x:c r="A28" s="93"/>
      <x:c r="B28" s="93"/>
      <x:c r="C28" s="93"/>
      <x:c r="D28" s="93"/>
      <x:c r="E28" s="93"/>
      <x:c r="F28" s="93"/>
      <x:c r="G28" s="93"/>
      <x:c r="H28" s="93"/>
      <x:c r="I28" s="93"/>
      <x:c r="J28" s="93"/>
      <x:c r="K28" s="93"/>
      <x:c r="L28" s="93"/>
    </x:row>
    <x:row r="29" ht="15">
      <x:c r="A29" s="93"/>
      <x:c r="B29" s="93"/>
      <x:c r="C29" s="93"/>
      <x:c r="D29" s="93"/>
      <x:c r="E29" s="93"/>
      <x:c r="F29" s="93"/>
      <x:c r="G29" s="93"/>
      <x:c r="H29" s="93"/>
      <x:c r="I29" s="93"/>
      <x:c r="J29" s="93"/>
      <x:c r="K29" s="93"/>
      <x:c r="L29" s="93"/>
    </x:row>
    <x:row r="30" ht="15">
      <x:c r="A30" s="93"/>
      <x:c r="B30" s="93"/>
      <x:c r="C30" s="93"/>
      <x:c r="D30" s="93"/>
      <x:c r="E30" s="93"/>
      <x:c r="F30" s="93"/>
      <x:c r="G30" s="93"/>
      <x:c r="H30" s="93"/>
      <x:c r="I30" s="93"/>
      <x:c r="J30" s="93"/>
      <x:c r="K30" s="93"/>
      <x:c r="L30" s="93"/>
    </x:row>
    <x:row r="31" ht="15">
      <x:c r="A31" s="93"/>
      <x:c r="B31" s="93"/>
      <x:c r="C31" s="93"/>
      <x:c r="D31" s="93"/>
      <x:c r="E31" s="93"/>
      <x:c r="F31" s="93"/>
      <x:c r="G31" s="93"/>
      <x:c r="H31" s="93"/>
      <x:c r="I31" s="93"/>
      <x:c r="J31" s="93"/>
      <x:c r="K31" s="93"/>
      <x:c r="L31" s="93"/>
    </x:row>
    <x:row r="32" ht="15">
      <x:c r="A32" s="93"/>
      <x:c r="B32" s="93"/>
      <x:c r="C32" s="93"/>
      <x:c r="D32" s="93"/>
      <x:c r="E32" s="93"/>
      <x:c r="F32" s="93"/>
      <x:c r="G32" s="93"/>
      <x:c r="H32" s="93"/>
      <x:c r="I32" s="93"/>
      <x:c r="J32" s="93"/>
      <x:c r="K32" s="93"/>
      <x:c r="L32" s="93"/>
    </x:row>
    <x:row r="33" ht="15">
      <x:c r="A33" s="93"/>
      <x:c r="B33" s="93"/>
      <x:c r="C33" s="93"/>
      <x:c r="D33" s="93"/>
      <x:c r="E33" s="93"/>
      <x:c r="F33" s="93"/>
      <x:c r="G33" s="93"/>
      <x:c r="H33" s="93"/>
      <x:c r="I33" s="93"/>
      <x:c r="J33" s="93"/>
      <x:c r="K33" s="93"/>
      <x:c r="L33" s="93"/>
    </x:row>
    <x:row r="34" ht="15">
      <x:c r="A34" s="93"/>
      <x:c r="B34" s="93"/>
      <x:c r="C34" s="93"/>
      <x:c r="D34" s="93"/>
      <x:c r="E34" s="93"/>
      <x:c r="F34" s="93"/>
      <x:c r="G34" s="93"/>
      <x:c r="H34" s="93"/>
      <x:c r="I34" s="93"/>
      <x:c r="J34" s="93"/>
      <x:c r="K34" s="93"/>
      <x:c r="L34" s="93"/>
    </x:row>
    <x:row r="35" ht="15">
      <x:c r="A35" s="93"/>
      <x:c r="B35" s="93"/>
      <x:c r="C35" s="93"/>
      <x:c r="D35" s="93"/>
      <x:c r="E35" s="93"/>
      <x:c r="F35" s="93"/>
      <x:c r="G35" s="93"/>
      <x:c r="H35" s="93"/>
      <x:c r="I35" s="93"/>
      <x:c r="J35" s="93"/>
      <x:c r="K35" s="93"/>
      <x:c r="L35" s="93"/>
    </x:row>
    <x:row r="36" ht="15">
      <x:c r="A36" s="93"/>
      <x:c r="B36" s="93"/>
      <x:c r="C36" s="93"/>
      <x:c r="D36" s="93"/>
      <x:c r="E36" s="93"/>
      <x:c r="F36" s="93"/>
      <x:c r="G36" s="93"/>
      <x:c r="H36" s="93"/>
      <x:c r="I36" s="93"/>
      <x:c r="J36" s="93"/>
      <x:c r="K36" s="93"/>
      <x:c r="L36" s="93"/>
    </x:row>
    <x:row r="37" ht="15">
      <x:c r="A37" s="93"/>
      <x:c r="B37" s="93"/>
      <x:c r="C37" s="93"/>
      <x:c r="D37" s="93"/>
      <x:c r="E37" s="93"/>
      <x:c r="F37" s="93"/>
      <x:c r="G37" s="93"/>
      <x:c r="H37" s="93"/>
      <x:c r="I37" s="93"/>
      <x:c r="J37" s="93"/>
      <x:c r="K37" s="93"/>
      <x:c r="L37" s="93"/>
    </x:row>
    <x:row r="38" ht="15">
      <x:c r="A38" s="93"/>
      <x:c r="B38" s="93"/>
      <x:c r="C38" s="93"/>
      <x:c r="D38" s="93"/>
      <x:c r="E38" s="93"/>
      <x:c r="F38" s="93"/>
      <x:c r="G38" s="93"/>
      <x:c r="H38" s="93"/>
      <x:c r="I38" s="93"/>
      <x:c r="J38" s="93"/>
      <x:c r="K38" s="93"/>
      <x:c r="L38" s="93"/>
    </x:row>
    <x:row r="39" ht="15">
      <x:c r="A39" s="93"/>
      <x:c r="B39" s="93"/>
      <x:c r="C39" s="93"/>
      <x:c r="D39" s="93"/>
      <x:c r="E39" s="93"/>
      <x:c r="F39" s="93"/>
      <x:c r="G39" s="93"/>
      <x:c r="H39" s="93"/>
      <x:c r="I39" s="93"/>
      <x:c r="J39" s="93"/>
      <x:c r="K39" s="93"/>
      <x:c r="L39" s="93"/>
    </x:row>
    <x:row r="40" ht="15">
      <x:c r="A40" s="93"/>
      <x:c r="B40" s="93"/>
      <x:c r="C40" s="93"/>
      <x:c r="D40" s="93"/>
      <x:c r="E40" s="93"/>
      <x:c r="F40" s="93"/>
      <x:c r="G40" s="93"/>
      <x:c r="H40" s="93"/>
      <x:c r="I40" s="93"/>
      <x:c r="J40" s="93"/>
      <x:c r="K40" s="93"/>
      <x:c r="L40" s="93"/>
    </x:row>
    <x:row r="41" ht="15">
      <x:c r="A41" s="93"/>
      <x:c r="B41" s="93"/>
      <x:c r="C41" s="93"/>
      <x:c r="D41" s="93"/>
      <x:c r="E41" s="93"/>
      <x:c r="F41" s="93"/>
      <x:c r="G41" s="93"/>
      <x:c r="H41" s="93"/>
      <x:c r="I41" s="93"/>
      <x:c r="J41" s="93"/>
      <x:c r="K41" s="93"/>
      <x:c r="L41" s="93"/>
    </x:row>
    <x:row r="42" ht="15">
      <x:c r="A42" s="93"/>
      <x:c r="B42" s="93"/>
      <x:c r="C42" s="93"/>
      <x:c r="D42" s="93"/>
      <x:c r="E42" s="93"/>
      <x:c r="F42" s="93"/>
      <x:c r="G42" s="93"/>
      <x:c r="H42" s="93"/>
      <x:c r="I42" s="93"/>
      <x:c r="J42" s="93"/>
      <x:c r="K42" s="93"/>
      <x:c r="L42" s="93"/>
    </x:row>
    <x:row r="43" ht="15">
      <x:c r="A43" s="93"/>
      <x:c r="B43" s="93"/>
      <x:c r="C43" s="93"/>
      <x:c r="D43" s="93"/>
      <x:c r="E43" s="93"/>
      <x:c r="F43" s="93"/>
      <x:c r="G43" s="93"/>
      <x:c r="H43" s="93"/>
      <x:c r="I43" s="93"/>
      <x:c r="J43" s="93"/>
      <x:c r="K43" s="93"/>
      <x:c r="L43" s="93"/>
    </x:row>
    <x:row r="44" ht="15">
      <x:c r="A44" s="93"/>
      <x:c r="B44" s="93"/>
      <x:c r="C44" s="93"/>
      <x:c r="D44" s="93"/>
      <x:c r="E44" s="93"/>
      <x:c r="F44" s="93"/>
      <x:c r="G44" s="93"/>
      <x:c r="H44" s="93"/>
      <x:c r="I44" s="93"/>
      <x:c r="J44" s="93"/>
      <x:c r="K44" s="93"/>
      <x:c r="L44" s="93"/>
    </x:row>
    <x:row r="45" ht="15">
      <x:c r="A45" s="93"/>
      <x:c r="B45" s="93"/>
      <x:c r="C45" s="93"/>
      <x:c r="D45" s="93"/>
      <x:c r="E45" s="93"/>
      <x:c r="F45" s="93"/>
      <x:c r="G45" s="93"/>
      <x:c r="H45" s="93"/>
      <x:c r="I45" s="93"/>
      <x:c r="J45" s="93"/>
      <x:c r="K45" s="93"/>
      <x:c r="L45" s="93"/>
    </x:row>
    <x:row r="46" ht="15">
      <x:c r="A46" s="93"/>
      <x:c r="B46" s="93"/>
      <x:c r="C46" s="93"/>
      <x:c r="D46" s="93"/>
      <x:c r="E46" s="93"/>
      <x:c r="F46" s="93"/>
      <x:c r="G46" s="93"/>
      <x:c r="H46" s="93"/>
      <x:c r="I46" s="93"/>
      <x:c r="J46" s="93"/>
      <x:c r="K46" s="93"/>
      <x:c r="L46" s="93"/>
    </x:row>
    <x:row r="47" ht="15">
      <x:c r="A47" s="93"/>
      <x:c r="B47" s="93"/>
      <x:c r="C47" s="93"/>
      <x:c r="D47" s="93"/>
      <x:c r="E47" s="93"/>
      <x:c r="F47" s="93"/>
      <x:c r="G47" s="93"/>
      <x:c r="H47" s="93"/>
      <x:c r="I47" s="93"/>
      <x:c r="J47" s="93"/>
      <x:c r="K47" s="93"/>
      <x:c r="L47" s="93"/>
    </x:row>
    <x:row r="48" ht="15">
      <x:c r="A48" s="93"/>
      <x:c r="B48" s="93"/>
      <x:c r="C48" s="93"/>
      <x:c r="D48" s="93"/>
      <x:c r="E48" s="93"/>
      <x:c r="F48" s="93"/>
      <x:c r="G48" s="93"/>
      <x:c r="H48" s="93"/>
      <x:c r="I48" s="93"/>
      <x:c r="J48" s="93"/>
      <x:c r="K48" s="93"/>
      <x:c r="L48" s="93"/>
    </x:row>
    <x:row r="49" ht="15">
      <x:c r="A49" s="93"/>
      <x:c r="B49" s="93"/>
      <x:c r="C49" s="93"/>
      <x:c r="D49" s="93"/>
      <x:c r="E49" s="93"/>
      <x:c r="F49" s="93"/>
      <x:c r="G49" s="93"/>
      <x:c r="H49" s="93"/>
      <x:c r="I49" s="93"/>
      <x:c r="J49" s="93"/>
      <x:c r="K49" s="93"/>
      <x:c r="L49" s="93"/>
    </x:row>
    <x:row r="50" ht="15">
      <x:c r="A50" s="93"/>
      <x:c r="B50" s="93"/>
      <x:c r="C50" s="93"/>
      <x:c r="D50" s="93"/>
      <x:c r="E50" s="93"/>
      <x:c r="F50" s="93"/>
      <x:c r="G50" s="93"/>
      <x:c r="H50" s="93"/>
      <x:c r="I50" s="93"/>
      <x:c r="J50" s="93"/>
      <x:c r="K50" s="93"/>
      <x:c r="L50" s="93"/>
    </x:row>
    <x:row r="51" ht="15">
      <x:c r="A51" s="93"/>
      <x:c r="B51" s="93"/>
      <x:c r="C51" s="93"/>
      <x:c r="D51" s="93"/>
      <x:c r="E51" s="93"/>
      <x:c r="F51" s="93"/>
      <x:c r="G51" s="93"/>
      <x:c r="H51" s="93"/>
      <x:c r="I51" s="93"/>
      <x:c r="J51" s="93"/>
      <x:c r="K51" s="93"/>
      <x:c r="L51" s="93"/>
    </x:row>
    <x:row r="52" ht="15">
      <x:c r="A52" s="93"/>
      <x:c r="B52" s="93"/>
      <x:c r="C52" s="93"/>
      <x:c r="D52" s="93"/>
      <x:c r="E52" s="93"/>
      <x:c r="F52" s="93"/>
      <x:c r="G52" s="93"/>
      <x:c r="H52" s="93"/>
      <x:c r="I52" s="93"/>
      <x:c r="J52" s="93"/>
      <x:c r="K52" s="93"/>
      <x:c r="L52" s="93"/>
    </x:row>
    <x:row r="53" ht="15">
      <x:c r="A53" s="93"/>
      <x:c r="B53" s="93"/>
      <x:c r="C53" s="93"/>
      <x:c r="D53" s="93"/>
      <x:c r="E53" s="93"/>
      <x:c r="F53" s="93"/>
      <x:c r="G53" s="93"/>
      <x:c r="H53" s="93"/>
      <x:c r="I53" s="93"/>
      <x:c r="J53" s="93"/>
      <x:c r="K53" s="93"/>
      <x:c r="L53" s="93"/>
    </x:row>
    <x:row r="54" ht="15">
      <x:c r="A54" s="93"/>
      <x:c r="B54" s="93"/>
      <x:c r="C54" s="93"/>
      <x:c r="D54" s="93"/>
      <x:c r="E54" s="93"/>
      <x:c r="F54" s="93"/>
      <x:c r="G54" s="93"/>
      <x:c r="H54" s="93"/>
      <x:c r="I54" s="93"/>
      <x:c r="J54" s="93"/>
      <x:c r="K54" s="93"/>
      <x:c r="L54" s="93"/>
    </x:row>
    <x:row r="55" ht="15">
      <x:c r="A55" s="93"/>
      <x:c r="B55" s="93"/>
      <x:c r="C55" s="93"/>
      <x:c r="D55" s="93"/>
      <x:c r="E55" s="93"/>
      <x:c r="F55" s="93"/>
      <x:c r="G55" s="93"/>
      <x:c r="H55" s="93"/>
      <x:c r="I55" s="93"/>
      <x:c r="J55" s="93"/>
      <x:c r="K55" s="93"/>
      <x:c r="L55" s="93"/>
    </x:row>
    <x:row r="56" ht="15">
      <x:c r="A56" s="93"/>
      <x:c r="B56" s="93"/>
      <x:c r="C56" s="93"/>
      <x:c r="D56" s="93"/>
      <x:c r="E56" s="93"/>
      <x:c r="F56" s="93"/>
      <x:c r="G56" s="93"/>
      <x:c r="H56" s="93"/>
      <x:c r="I56" s="93"/>
      <x:c r="J56" s="93"/>
      <x:c r="K56" s="93"/>
      <x:c r="L56" s="93"/>
    </x:row>
    <x:row r="57" ht="15">
      <x:c r="A57" s="93"/>
      <x:c r="B57" s="93"/>
      <x:c r="C57" s="93"/>
      <x:c r="D57" s="93"/>
      <x:c r="E57" s="93"/>
      <x:c r="F57" s="93"/>
      <x:c r="G57" s="93"/>
      <x:c r="H57" s="93"/>
      <x:c r="I57" s="93"/>
      <x:c r="J57" s="93"/>
      <x:c r="K57" s="93"/>
      <x:c r="L57" s="93"/>
    </x:row>
    <x:row r="58" ht="15">
      <x:c r="A58" s="93"/>
      <x:c r="B58" s="93"/>
      <x:c r="C58" s="93"/>
      <x:c r="D58" s="93"/>
      <x:c r="E58" s="93"/>
      <x:c r="F58" s="93"/>
      <x:c r="G58" s="93"/>
      <x:c r="H58" s="93"/>
      <x:c r="I58" s="93"/>
      <x:c r="J58" s="93"/>
      <x:c r="K58" s="93"/>
      <x:c r="L58" s="93"/>
    </x:row>
    <x:row r="59" ht="15">
      <x:c r="A59" s="93"/>
      <x:c r="B59" s="93"/>
      <x:c r="C59" s="93"/>
      <x:c r="D59" s="93"/>
      <x:c r="E59" s="93"/>
      <x:c r="F59" s="93"/>
      <x:c r="G59" s="93"/>
      <x:c r="H59" s="93"/>
      <x:c r="I59" s="93"/>
      <x:c r="J59" s="93"/>
      <x:c r="K59" s="93"/>
      <x:c r="L59" s="93"/>
    </x:row>
    <x:row r="60" ht="15">
      <x:c r="A60" s="93"/>
      <x:c r="B60" s="93"/>
      <x:c r="C60" s="93"/>
      <x:c r="D60" s="93"/>
      <x:c r="E60" s="93"/>
      <x:c r="F60" s="93"/>
      <x:c r="G60" s="93"/>
      <x:c r="H60" s="93"/>
      <x:c r="I60" s="93"/>
      <x:c r="J60" s="93"/>
      <x:c r="K60" s="93"/>
      <x:c r="L60" s="93"/>
    </x:row>
  </x:sheetData>
  <x:mergeCells>
    <x:mergeCell ref="A1:G1"/>
    <x:mergeCell ref="A2:G2"/>
  </x:mergeCells>
  <x:conditionalFormatting sqref="F5:F14">
    <x:cfRule type="colorScale" priority="1">
      <x:colorScale>
        <x:cfvo type="min"/>
        <x:cfvo type="percentile" val="50"/>
        <x:cfvo type="max"/>
        <x:color rgb="FFFEE2E2"/>
        <x:color rgb="FFFFF7D6"/>
        <x:color rgb="FFE8F5E9"/>
      </x:colorScale>
    </x:cfRule>
  </x:conditionalFormatting>
  <x:pageMargins left="0.7" right="0.7" top="0.75" bottom="0.75" header="0.3" footer="0.3"/>
  <x:drawing xmlns:r="http://schemas.openxmlformats.org/officeDocument/2006/relationships" r:id="R3b4ede9450f44cb9"/>
</x:worksheet>
</file>

<file path=xl/worksheets/sheet7.xml><?xml version="1.0" encoding="utf-8"?>
<x:worksheet xmlns:x="http://schemas.openxmlformats.org/spreadsheetml/2006/main">
  <x:sheetFormatPr defaultRowHeight="14.25"/>
  <x:cols>
    <x:col min="1" max="1" width="1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8" hidden="0" customWidth="1"/>
    <x:col min="9" max="14" width="14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</x:cols>
  <x:sheetData>
    <x:row r="1" ht="30" customHeight="1">
      <x:c r="A1" s="174" t="str">
        <x:v>Zomato India | Regional Performance</x:v>
      </x:c>
      <x:c r="B1" s="237"/>
      <x:c r="C1" s="237"/>
      <x:c r="D1" s="237"/>
      <x:c r="E1" s="237"/>
      <x:c r="F1" s="237"/>
      <x:c r="G1" s="237"/>
      <x:c r="H1" s="237"/>
      <x:c r="I1" s="238"/>
      <x:c r="J1" s="238"/>
      <x:c r="K1" s="238"/>
      <x:c r="L1" s="238"/>
      <x:c r="M1" s="238"/>
      <x:c r="N1" s="238"/>
      <x:c r="O1" s="239"/>
      <x:c r="P1" s="239"/>
      <x:c r="Q1" s="239"/>
      <x:c r="R1" s="239"/>
      <x:c r="S1" s="239"/>
      <x:c r="T1" s="239"/>
      <x:c r="U1" s="239"/>
      <x:c r="V1" s="239"/>
      <x:c r="W1" s="239"/>
      <x:c r="X1" s="239"/>
      <x:c r="Y1" s="239"/>
      <x:c r="Z1" s="239"/>
    </x:row>
    <x:row r="2" ht="20.100000381469727" customHeight="1">
      <x:c r="A2" s="222" t="str">
        <x:v>Regional revenue, profitability and target delivery</x:v>
      </x:c>
      <x:c r="B2" s="222"/>
      <x:c r="C2" s="222"/>
      <x:c r="D2" s="222"/>
      <x:c r="E2" s="222"/>
      <x:c r="F2" s="222"/>
      <x:c r="G2" s="222"/>
      <x:c r="H2" s="222"/>
      <x:c r="I2" s="93"/>
      <x:c r="J2" s="93"/>
      <x:c r="K2" s="93"/>
      <x:c r="L2" s="93"/>
      <x:c r="M2" s="93"/>
      <x:c r="N2" s="93"/>
    </x:row>
    <x:row r="3" ht="15">
      <x:c r="A3" s="222"/>
      <x:c r="B3" s="222"/>
      <x:c r="C3" s="222"/>
      <x:c r="D3" s="222"/>
      <x:c r="E3" s="222"/>
      <x:c r="F3" s="222"/>
      <x:c r="G3" s="222"/>
      <x:c r="H3" s="222"/>
      <x:c r="I3" s="93"/>
      <x:c r="J3" s="93"/>
      <x:c r="K3" s="93"/>
      <x:c r="L3" s="93"/>
      <x:c r="M3" s="93"/>
      <x:c r="N3" s="93"/>
    </x:row>
    <x:row r="4" ht="15">
      <x:c r="A4" s="201" t="str">
        <x:v>Region</x:v>
      </x:c>
      <x:c r="B4" s="201" t="str">
        <x:v>Revenue (₹ Cr)</x:v>
      </x:c>
      <x:c r="C4" s="201" t="str">
        <x:v>Gross Profit (₹ Cr)</x:v>
      </x:c>
      <x:c r="D4" s="201" t="str">
        <x:v>Net Profit (₹ Cr)</x:v>
      </x:c>
      <x:c r="E4" s="201" t="str">
        <x:v>Margin %</x:v>
      </x:c>
      <x:c r="F4" s="201" t="str">
        <x:v>Target (₹ Cr)</x:v>
      </x:c>
      <x:c r="G4" s="201" t="str">
        <x:v>Attainment %</x:v>
      </x:c>
      <x:c r="H4" s="201" t="str">
        <x:v>Rank</x:v>
      </x:c>
      <x:c r="I4" s="201"/>
      <x:c r="J4" s="201"/>
      <x:c r="K4" s="201"/>
      <x:c r="L4" s="201"/>
      <x:c r="M4" s="201"/>
      <x:c r="N4" s="201"/>
      <x:c r="O4" s="204"/>
      <x:c r="P4" s="204"/>
      <x:c r="Q4" s="204"/>
      <x:c r="R4" s="204"/>
      <x:c r="S4" s="204"/>
      <x:c r="T4" s="204"/>
      <x:c r="U4" s="204"/>
      <x:c r="V4" s="204"/>
      <x:c r="W4" s="204"/>
      <x:c r="X4" s="204"/>
      <x:c r="Y4" s="204"/>
      <x:c r="Z4" s="204"/>
    </x:row>
    <x:row r="5" ht="15">
      <x:c r="A5" s="187" t="str">
        <x:v>North</x:v>
      </x:c>
      <x:c r="B5" s="224" t="n">
        <x:f>SUMIFS('Sales Transactions'!$L$5:$L$364,'Sales Transactions'!$C$5:$C$364,A5)/10000000</x:f>
        <x:v>0.300613237</x:v>
      </x:c>
      <x:c r="C5" s="224" t="n">
        <x:f>SUMIFS('Sales Transactions'!$N$5:$N$364,'Sales Transactions'!$C$5:$C$364,A5)/10000000</x:f>
        <x:v>0.08085821698999998</x:v>
      </x:c>
      <x:c r="D5" s="224" t="n">
        <x:f>SUMIFS('Sales Transactions'!$P$5:$P$364,'Sales Transactions'!$C$5:$C$364,A5)/10000000</x:f>
        <x:v>0.04177849618</x:v>
      </x:c>
      <x:c r="E5" s="191" t="n">
        <x:f t="shared" ref="E5:E10" si="0">IFERROR(D5/B5,0)</x:f>
        <x:v>0.13897756664654126</x:v>
      </x:c>
      <x:c r="F5" s="224" t="n">
        <x:f>B5*1.05</x:f>
        <x:v>0.31564389885</x:v>
      </x:c>
      <x:c r="G5" s="191" t="n">
        <x:f t="shared" ref="G5:G10" si="1">IFERROR(B5/F5,0)</x:f>
        <x:v>0.9523809523809523</x:v>
      </x:c>
      <x:c r="H5" s="187" t="n">
        <x:f t="shared" ref="H5:H10" si="2">RANK(B5,$B$5:$B$10,0)</x:f>
        <x:v>3</x:v>
      </x:c>
      <x:c r="I5" s="93"/>
      <x:c r="J5" s="93"/>
      <x:c r="K5" s="93"/>
      <x:c r="L5" s="93"/>
      <x:c r="M5" s="93"/>
      <x:c r="N5" s="93"/>
    </x:row>
    <x:row r="6" ht="15">
      <x:c r="A6" s="187" t="str">
        <x:v>South</x:v>
      </x:c>
      <x:c r="B6" s="224" t="n">
        <x:f>SUMIFS('Sales Transactions'!$L$5:$L$364,'Sales Transactions'!$C$5:$C$364,A6)/10000000</x:f>
        <x:v>0.366236157</x:v>
      </x:c>
      <x:c r="C6" s="224" t="n">
        <x:f>SUMIFS('Sales Transactions'!$N$5:$N$364,'Sales Transactions'!$C$5:$C$364,A6)/10000000</x:f>
        <x:v>0.09886948171000004</x:v>
      </x:c>
      <x:c r="D6" s="224" t="n">
        <x:f>SUMIFS('Sales Transactions'!$P$5:$P$364,'Sales Transactions'!$C$5:$C$364,A6)/10000000</x:f>
        <x:v>0.0512587813</x:v>
      </x:c>
      <x:c r="E6" s="191" t="n">
        <x:f t="shared" si="0">IFERROR(D6/B6,0)</x:f>
        <x:v>0.1399610069084468</x:v>
      </x:c>
      <x:c r="F6" s="224" t="n">
        <x:f>B6*1.08</x:f>
        <x:v>0.39553504956</x:v>
      </x:c>
      <x:c r="G6" s="191" t="n">
        <x:f t="shared" si="1">IFERROR(B6/F6,0)</x:f>
        <x:v>0.9259259259259259</x:v>
      </x:c>
      <x:c r="H6" s="187" t="n">
        <x:f t="shared" si="2">RANK(B6,$B$5:$B$10,0)</x:f>
        <x:v>1</x:v>
      </x:c>
      <x:c r="I6" s="93"/>
      <x:c r="J6" s="93"/>
      <x:c r="K6" s="93"/>
      <x:c r="L6" s="93"/>
      <x:c r="M6" s="93"/>
      <x:c r="N6" s="93"/>
    </x:row>
    <x:row r="7" ht="15">
      <x:c r="A7" s="187" t="str">
        <x:v>West</x:v>
      </x:c>
      <x:c r="B7" s="224" t="n">
        <x:f>SUMIFS('Sales Transactions'!$L$5:$L$364,'Sales Transactions'!$C$5:$C$364,A7)/10000000</x:f>
        <x:v>0.3449549710000001</x:v>
      </x:c>
      <x:c r="C7" s="224" t="n">
        <x:f>SUMIFS('Sales Transactions'!$N$5:$N$364,'Sales Transactions'!$C$5:$C$364,A7)/10000000</x:f>
        <x:v>0.09257142718999999</x:v>
      </x:c>
      <x:c r="D7" s="224" t="n">
        <x:f>SUMIFS('Sales Transactions'!$P$5:$P$364,'Sales Transactions'!$C$5:$C$364,A7)/10000000</x:f>
        <x:v>0.04772728096000001</x:v>
      </x:c>
      <x:c r="E7" s="191" t="n">
        <x:f t="shared" si="0">IFERROR(D7/B7,0)</x:f>
        <x:v>0.13835800313774865</x:v>
      </x:c>
      <x:c r="F7" s="224" t="n">
        <x:f>B7*1.03</x:f>
        <x:v>0.3553036201300001</x:v>
      </x:c>
      <x:c r="G7" s="191" t="n">
        <x:f t="shared" si="1">IFERROR(B7/F7,0)</x:f>
        <x:v>0.970873786407767</x:v>
      </x:c>
      <x:c r="H7" s="187" t="n">
        <x:f t="shared" si="2">RANK(B7,$B$5:$B$10,0)</x:f>
        <x:v>2</x:v>
      </x:c>
      <x:c r="I7" s="93"/>
      <x:c r="J7" s="93"/>
      <x:c r="K7" s="93"/>
      <x:c r="L7" s="93"/>
      <x:c r="M7" s="93"/>
      <x:c r="N7" s="93"/>
    </x:row>
    <x:row r="8" ht="15">
      <x:c r="A8" s="187" t="str">
        <x:v>East</x:v>
      </x:c>
      <x:c r="B8" s="224" t="n">
        <x:f>SUMIFS('Sales Transactions'!$L$5:$L$364,'Sales Transactions'!$C$5:$C$364,A8)/10000000</x:f>
        <x:v>0.158668281</x:v>
      </x:c>
      <x:c r="C8" s="224" t="n">
        <x:f>SUMIFS('Sales Transactions'!$N$5:$N$364,'Sales Transactions'!$C$5:$C$364,A8)/10000000</x:f>
        <x:v>0.042669229249999996</x:v>
      </x:c>
      <x:c r="D8" s="224" t="n">
        <x:f>SUMIFS('Sales Transactions'!$P$5:$P$364,'Sales Transactions'!$C$5:$C$364,A8)/10000000</x:f>
        <x:v>0.022042352719999995</x:v>
      </x:c>
      <x:c r="E8" s="191" t="n">
        <x:f t="shared" si="0">IFERROR(D8/B8,0)</x:f>
        <x:v>0.13892097765904451</x:v>
      </x:c>
      <x:c r="F8" s="224" t="n">
        <x:f>B8*1.1</x:f>
        <x:v>0.1745351091</x:v>
      </x:c>
      <x:c r="G8" s="191" t="n">
        <x:f t="shared" si="1">IFERROR(B8/F8,0)</x:f>
        <x:v>0.9090909090909091</x:v>
      </x:c>
      <x:c r="H8" s="187" t="n">
        <x:f t="shared" si="2">RANK(B8,$B$5:$B$10,0)</x:f>
        <x:v>5</x:v>
      </x:c>
      <x:c r="I8" s="93"/>
      <x:c r="J8" s="93"/>
      <x:c r="K8" s="93"/>
      <x:c r="L8" s="93"/>
      <x:c r="M8" s="93"/>
      <x:c r="N8" s="93"/>
    </x:row>
    <x:row r="9" ht="15">
      <x:c r="A9" s="187" t="str">
        <x:v>Central</x:v>
      </x:c>
      <x:c r="B9" s="224" t="n">
        <x:f>SUMIFS('Sales Transactions'!$L$5:$L$364,'Sales Transactions'!$C$5:$C$364,A9)/10000000</x:f>
        <x:v>0.15220176099999996</x:v>
      </x:c>
      <x:c r="C9" s="224" t="n">
        <x:f>SUMIFS('Sales Transactions'!$N$5:$N$364,'Sales Transactions'!$C$5:$C$364,A9)/10000000</x:f>
        <x:v>0.040990140359999996</x:v>
      </x:c>
      <x:c r="D9" s="224" t="n">
        <x:f>SUMIFS('Sales Transactions'!$P$5:$P$364,'Sales Transactions'!$C$5:$C$364,A9)/10000000</x:f>
        <x:v>0.021203911430000003</x:v>
      </x:c>
      <x:c r="E9" s="191" t="n">
        <x:f t="shared" si="0">IFERROR(D9/B9,0)</x:f>
        <x:v>0.13931449472519578</x:v>
      </x:c>
      <x:c r="F9" s="224" t="n">
        <x:f>B9*1.07</x:f>
        <x:v>0.16285588426999997</x:v>
      </x:c>
      <x:c r="G9" s="191" t="n">
        <x:f t="shared" si="1">IFERROR(B9/F9,0)</x:f>
        <x:v>0.9345794392523363</x:v>
      </x:c>
      <x:c r="H9" s="187" t="n">
        <x:f t="shared" si="2">RANK(B9,$B$5:$B$10,0)</x:f>
        <x:v>6</x:v>
      </x:c>
      <x:c r="I9" s="93"/>
      <x:c r="J9" s="93"/>
      <x:c r="K9" s="93"/>
      <x:c r="L9" s="93"/>
      <x:c r="M9" s="93"/>
      <x:c r="N9" s="93"/>
    </x:row>
    <x:row r="10" ht="15">
      <x:c r="A10" s="187" t="str">
        <x:v>Metro</x:v>
      </x:c>
      <x:c r="B10" s="224" t="n">
        <x:f>SUMIFS('Sales Transactions'!$L$5:$L$364,'Sales Transactions'!$C$5:$C$364,A10)/10000000</x:f>
        <x:v>0.2902051720000001</x:v>
      </x:c>
      <x:c r="C10" s="224" t="n">
        <x:f>SUMIFS('Sales Transactions'!$N$5:$N$364,'Sales Transactions'!$C$5:$C$364,A10)/10000000</x:f>
        <x:v>0.07806272130999999</x:v>
      </x:c>
      <x:c r="D10" s="224" t="n">
        <x:f>SUMIFS('Sales Transactions'!$P$5:$P$364,'Sales Transactions'!$C$5:$C$364,A10)/10000000</x:f>
        <x:v>0.040336048949999974</x:v>
      </x:c>
      <x:c r="E10" s="191" t="n">
        <x:f t="shared" si="0">IFERROR(D10/B10,0)</x:f>
        <x:v>0.13899148892494567</x:v>
      </x:c>
      <x:c r="F10" s="224" t="n">
        <x:f>B10*1.06</x:f>
        <x:v>0.30761748232000014</x:v>
      </x:c>
      <x:c r="G10" s="191" t="n">
        <x:f t="shared" si="1">IFERROR(B10/F10,0)</x:f>
        <x:v>0.9433962264150944</x:v>
      </x:c>
      <x:c r="H10" s="187" t="n">
        <x:f t="shared" si="2">RANK(B10,$B$5:$B$10,0)</x:f>
        <x:v>4</x:v>
      </x:c>
      <x:c r="I10" s="93"/>
      <x:c r="J10" s="93"/>
      <x:c r="K10" s="93"/>
      <x:c r="L10" s="93"/>
      <x:c r="M10" s="93"/>
      <x:c r="N10" s="93"/>
    </x:row>
    <x:row r="11" ht="15">
      <x:c r="A11" s="93"/>
      <x:c r="B11" s="93"/>
      <x:c r="C11" s="93"/>
      <x:c r="D11" s="93"/>
      <x:c r="E11" s="93"/>
      <x:c r="F11" s="93"/>
      <x:c r="G11" s="93"/>
      <x:c r="H11" s="93"/>
      <x:c r="I11" s="93"/>
      <x:c r="J11" s="93"/>
      <x:c r="K11" s="93"/>
      <x:c r="L11" s="93"/>
      <x:c r="M11" s="93"/>
      <x:c r="N11" s="93"/>
    </x:row>
    <x:row r="12" ht="15">
      <x:c r="A12" s="93"/>
      <x:c r="B12" s="93"/>
      <x:c r="C12" s="93"/>
      <x:c r="D12" s="93"/>
      <x:c r="E12" s="93"/>
      <x:c r="F12" s="93"/>
      <x:c r="G12" s="93"/>
      <x:c r="H12" s="93"/>
      <x:c r="I12" s="93"/>
      <x:c r="J12" s="93"/>
      <x:c r="K12" s="93"/>
      <x:c r="L12" s="93"/>
      <x:c r="M12" s="93"/>
      <x:c r="N12" s="93"/>
    </x:row>
    <x:row r="13" ht="15">
      <x:c r="A13" s="93"/>
      <x:c r="B13" s="93"/>
      <x:c r="C13" s="93"/>
      <x:c r="D13" s="93"/>
      <x:c r="E13" s="93"/>
      <x:c r="F13" s="93"/>
      <x:c r="G13" s="93"/>
      <x:c r="H13" s="93"/>
      <x:c r="I13" s="93"/>
      <x:c r="J13" s="93"/>
      <x:c r="K13" s="93"/>
      <x:c r="L13" s="93"/>
      <x:c r="M13" s="93"/>
      <x:c r="N13" s="93"/>
    </x:row>
    <x:row r="14" ht="15">
      <x:c r="A14" s="93"/>
      <x:c r="B14" s="93"/>
      <x:c r="C14" s="93"/>
      <x:c r="D14" s="93"/>
      <x:c r="E14" s="93"/>
      <x:c r="F14" s="93"/>
      <x:c r="G14" s="93"/>
      <x:c r="H14" s="93"/>
      <x:c r="I14" s="93"/>
      <x:c r="J14" s="93"/>
      <x:c r="K14" s="93"/>
      <x:c r="L14" s="93"/>
      <x:c r="M14" s="93"/>
      <x:c r="N14" s="93"/>
    </x:row>
    <x:row r="15" ht="15">
      <x:c r="A15" s="93"/>
      <x:c r="B15" s="93"/>
      <x:c r="C15" s="93"/>
      <x:c r="D15" s="93"/>
      <x:c r="E15" s="93"/>
      <x:c r="F15" s="93"/>
      <x:c r="G15" s="93"/>
      <x:c r="H15" s="93"/>
      <x:c r="I15" s="93"/>
      <x:c r="J15" s="93"/>
      <x:c r="K15" s="93"/>
      <x:c r="L15" s="93"/>
      <x:c r="M15" s="93"/>
      <x:c r="N15" s="93"/>
    </x:row>
    <x:row r="16" ht="15">
      <x:c r="A16" s="93"/>
      <x:c r="B16" s="93"/>
      <x:c r="C16" s="93"/>
      <x:c r="D16" s="93"/>
      <x:c r="E16" s="93"/>
      <x:c r="F16" s="93"/>
      <x:c r="G16" s="93"/>
      <x:c r="H16" s="93"/>
      <x:c r="I16" s="93"/>
      <x:c r="J16" s="93"/>
      <x:c r="K16" s="93"/>
      <x:c r="L16" s="93"/>
      <x:c r="M16" s="93"/>
      <x:c r="N16" s="93"/>
    </x:row>
    <x:row r="17" ht="15">
      <x:c r="A17" s="93"/>
      <x:c r="B17" s="93"/>
      <x:c r="C17" s="93"/>
      <x:c r="D17" s="93"/>
      <x:c r="E17" s="93"/>
      <x:c r="F17" s="93"/>
      <x:c r="G17" s="93"/>
      <x:c r="H17" s="93"/>
      <x:c r="I17" s="93"/>
      <x:c r="J17" s="93"/>
      <x:c r="K17" s="93"/>
      <x:c r="L17" s="93"/>
      <x:c r="M17" s="93"/>
      <x:c r="N17" s="93"/>
    </x:row>
    <x:row r="18" ht="15">
      <x:c r="A18" s="93"/>
      <x:c r="B18" s="93"/>
      <x:c r="C18" s="93"/>
      <x:c r="D18" s="93"/>
      <x:c r="E18" s="93"/>
      <x:c r="F18" s="93"/>
      <x:c r="G18" s="93"/>
      <x:c r="H18" s="93"/>
      <x:c r="I18" s="93"/>
      <x:c r="J18" s="93"/>
      <x:c r="K18" s="93"/>
      <x:c r="L18" s="93"/>
      <x:c r="M18" s="93"/>
      <x:c r="N18" s="93"/>
    </x:row>
    <x:row r="19" ht="15">
      <x:c r="A19" s="93"/>
      <x:c r="B19" s="93"/>
      <x:c r="C19" s="93"/>
      <x:c r="D19" s="93"/>
      <x:c r="E19" s="93"/>
      <x:c r="F19" s="93"/>
      <x:c r="G19" s="93"/>
      <x:c r="H19" s="93"/>
      <x:c r="I19" s="93"/>
      <x:c r="J19" s="93"/>
      <x:c r="K19" s="93"/>
      <x:c r="L19" s="93"/>
      <x:c r="M19" s="93"/>
      <x:c r="N19" s="93"/>
    </x:row>
    <x:row r="20" ht="15">
      <x:c r="A20" s="93"/>
      <x:c r="B20" s="93"/>
      <x:c r="C20" s="93"/>
      <x:c r="D20" s="93"/>
      <x:c r="E20" s="93"/>
      <x:c r="F20" s="93"/>
      <x:c r="G20" s="93"/>
      <x:c r="H20" s="93"/>
      <x:c r="I20" s="93"/>
      <x:c r="J20" s="93"/>
      <x:c r="K20" s="93"/>
      <x:c r="L20" s="93"/>
      <x:c r="M20" s="93"/>
      <x:c r="N20" s="93"/>
    </x:row>
    <x:row r="21" ht="15">
      <x:c r="A21" s="93"/>
      <x:c r="B21" s="93"/>
      <x:c r="C21" s="93"/>
      <x:c r="D21" s="93"/>
      <x:c r="E21" s="93"/>
      <x:c r="F21" s="93"/>
      <x:c r="G21" s="93"/>
      <x:c r="H21" s="93"/>
      <x:c r="I21" s="93"/>
      <x:c r="J21" s="93"/>
      <x:c r="K21" s="93"/>
      <x:c r="L21" s="93"/>
      <x:c r="M21" s="93"/>
      <x:c r="N21" s="93"/>
    </x:row>
    <x:row r="22" ht="15">
      <x:c r="A22" s="93"/>
      <x:c r="B22" s="93"/>
      <x:c r="C22" s="93"/>
      <x:c r="D22" s="93"/>
      <x:c r="E22" s="93"/>
      <x:c r="F22" s="93"/>
      <x:c r="G22" s="93"/>
      <x:c r="H22" s="93"/>
      <x:c r="I22" s="93"/>
      <x:c r="J22" s="93"/>
      <x:c r="K22" s="93"/>
      <x:c r="L22" s="93"/>
      <x:c r="M22" s="93"/>
      <x:c r="N22" s="93"/>
    </x:row>
    <x:row r="23" ht="15">
      <x:c r="A23" s="93"/>
      <x:c r="B23" s="93"/>
      <x:c r="C23" s="93"/>
      <x:c r="D23" s="93"/>
      <x:c r="E23" s="93"/>
      <x:c r="F23" s="93"/>
      <x:c r="G23" s="93"/>
      <x:c r="H23" s="93"/>
      <x:c r="I23" s="93"/>
      <x:c r="J23" s="93"/>
      <x:c r="K23" s="93"/>
      <x:c r="L23" s="93"/>
      <x:c r="M23" s="93"/>
      <x:c r="N23" s="93"/>
    </x:row>
    <x:row r="24" ht="15">
      <x:c r="A24" s="93"/>
      <x:c r="B24" s="93"/>
      <x:c r="C24" s="93"/>
      <x:c r="D24" s="93"/>
      <x:c r="E24" s="93"/>
      <x:c r="F24" s="93"/>
      <x:c r="G24" s="93"/>
      <x:c r="H24" s="93"/>
      <x:c r="I24" s="93"/>
      <x:c r="J24" s="93"/>
      <x:c r="K24" s="93"/>
      <x:c r="L24" s="93"/>
      <x:c r="M24" s="93"/>
      <x:c r="N24" s="93"/>
    </x:row>
    <x:row r="25" ht="15">
      <x:c r="A25" s="93"/>
      <x:c r="B25" s="93"/>
      <x:c r="C25" s="93"/>
      <x:c r="D25" s="93"/>
      <x:c r="E25" s="93"/>
      <x:c r="F25" s="93"/>
      <x:c r="G25" s="93"/>
      <x:c r="H25" s="93"/>
      <x:c r="I25" s="93"/>
      <x:c r="J25" s="93"/>
      <x:c r="K25" s="93"/>
      <x:c r="L25" s="93"/>
      <x:c r="M25" s="93"/>
      <x:c r="N25" s="93"/>
    </x:row>
    <x:row r="26" ht="15">
      <x:c r="A26" s="93"/>
      <x:c r="B26" s="93"/>
      <x:c r="C26" s="93"/>
      <x:c r="D26" s="93"/>
      <x:c r="E26" s="93"/>
      <x:c r="F26" s="93"/>
      <x:c r="G26" s="93"/>
      <x:c r="H26" s="93"/>
      <x:c r="I26" s="93"/>
      <x:c r="J26" s="93"/>
      <x:c r="K26" s="93"/>
      <x:c r="L26" s="93"/>
      <x:c r="M26" s="93"/>
      <x:c r="N26" s="93"/>
    </x:row>
    <x:row r="27" ht="15">
      <x:c r="A27" s="93"/>
      <x:c r="B27" s="93"/>
      <x:c r="C27" s="93"/>
      <x:c r="D27" s="93"/>
      <x:c r="E27" s="93"/>
      <x:c r="F27" s="93"/>
      <x:c r="G27" s="93"/>
      <x:c r="H27" s="93"/>
      <x:c r="I27" s="93"/>
      <x:c r="J27" s="93"/>
      <x:c r="K27" s="93"/>
      <x:c r="L27" s="93"/>
      <x:c r="M27" s="93"/>
      <x:c r="N27" s="93"/>
    </x:row>
    <x:row r="28" ht="15">
      <x:c r="A28" s="93"/>
      <x:c r="B28" s="93"/>
      <x:c r="C28" s="93"/>
      <x:c r="D28" s="93"/>
      <x:c r="E28" s="93"/>
      <x:c r="F28" s="93"/>
      <x:c r="G28" s="93"/>
      <x:c r="H28" s="93"/>
      <x:c r="I28" s="93"/>
      <x:c r="J28" s="93"/>
      <x:c r="K28" s="93"/>
      <x:c r="L28" s="93"/>
      <x:c r="M28" s="93"/>
      <x:c r="N28" s="93"/>
    </x:row>
    <x:row r="29" ht="15">
      <x:c r="A29" s="93"/>
      <x:c r="B29" s="93"/>
      <x:c r="C29" s="93"/>
      <x:c r="D29" s="93"/>
      <x:c r="E29" s="93"/>
      <x:c r="F29" s="93"/>
      <x:c r="G29" s="93"/>
      <x:c r="H29" s="93"/>
      <x:c r="I29" s="93"/>
      <x:c r="J29" s="93"/>
      <x:c r="K29" s="93"/>
      <x:c r="L29" s="93"/>
      <x:c r="M29" s="93"/>
      <x:c r="N29" s="93"/>
    </x:row>
    <x:row r="30" ht="15">
      <x:c r="A30" s="93"/>
      <x:c r="B30" s="93"/>
      <x:c r="C30" s="93"/>
      <x:c r="D30" s="93"/>
      <x:c r="E30" s="93"/>
      <x:c r="F30" s="93"/>
      <x:c r="G30" s="93"/>
      <x:c r="H30" s="93"/>
      <x:c r="I30" s="93"/>
      <x:c r="J30" s="93"/>
      <x:c r="K30" s="93"/>
      <x:c r="L30" s="93"/>
      <x:c r="M30" s="93"/>
      <x:c r="N30" s="93"/>
    </x:row>
    <x:row r="31" ht="15">
      <x:c r="A31" s="93"/>
      <x:c r="B31" s="93"/>
      <x:c r="C31" s="93"/>
      <x:c r="D31" s="93"/>
      <x:c r="E31" s="93"/>
      <x:c r="F31" s="93"/>
      <x:c r="G31" s="93"/>
      <x:c r="H31" s="93"/>
      <x:c r="I31" s="93"/>
      <x:c r="J31" s="93"/>
      <x:c r="K31" s="93"/>
      <x:c r="L31" s="93"/>
      <x:c r="M31" s="93"/>
      <x:c r="N31" s="93"/>
    </x:row>
    <x:row r="32" ht="15">
      <x:c r="A32" s="93"/>
      <x:c r="B32" s="93"/>
      <x:c r="C32" s="93"/>
      <x:c r="D32" s="93"/>
      <x:c r="E32" s="93"/>
      <x:c r="F32" s="93"/>
      <x:c r="G32" s="93"/>
      <x:c r="H32" s="93"/>
      <x:c r="I32" s="93"/>
      <x:c r="J32" s="93"/>
      <x:c r="K32" s="93"/>
      <x:c r="L32" s="93"/>
      <x:c r="M32" s="93"/>
      <x:c r="N32" s="93"/>
    </x:row>
    <x:row r="33" ht="15">
      <x:c r="A33" s="93"/>
      <x:c r="B33" s="93"/>
      <x:c r="C33" s="93"/>
      <x:c r="D33" s="93"/>
      <x:c r="E33" s="93"/>
      <x:c r="F33" s="93"/>
      <x:c r="G33" s="93"/>
      <x:c r="H33" s="93"/>
      <x:c r="I33" s="93"/>
      <x:c r="J33" s="93"/>
      <x:c r="K33" s="93"/>
      <x:c r="L33" s="93"/>
      <x:c r="M33" s="93"/>
      <x:c r="N33" s="93"/>
    </x:row>
    <x:row r="34" ht="15">
      <x:c r="A34" s="93"/>
      <x:c r="B34" s="93"/>
      <x:c r="C34" s="93"/>
      <x:c r="D34" s="93"/>
      <x:c r="E34" s="93"/>
      <x:c r="F34" s="93"/>
      <x:c r="G34" s="93"/>
      <x:c r="H34" s="93"/>
      <x:c r="I34" s="93"/>
      <x:c r="J34" s="93"/>
      <x:c r="K34" s="93"/>
      <x:c r="L34" s="93"/>
      <x:c r="M34" s="93"/>
      <x:c r="N34" s="93"/>
    </x:row>
    <x:row r="35" ht="15">
      <x:c r="A35" s="93"/>
      <x:c r="B35" s="93"/>
      <x:c r="C35" s="93"/>
      <x:c r="D35" s="93"/>
      <x:c r="E35" s="93"/>
      <x:c r="F35" s="93"/>
      <x:c r="G35" s="93"/>
      <x:c r="H35" s="93"/>
      <x:c r="I35" s="93"/>
      <x:c r="J35" s="93"/>
      <x:c r="K35" s="93"/>
      <x:c r="L35" s="93"/>
      <x:c r="M35" s="93"/>
      <x:c r="N35" s="93"/>
    </x:row>
    <x:row r="36" ht="15">
      <x:c r="A36" s="93"/>
      <x:c r="B36" s="93"/>
      <x:c r="C36" s="93"/>
      <x:c r="D36" s="93"/>
      <x:c r="E36" s="93"/>
      <x:c r="F36" s="93"/>
      <x:c r="G36" s="93"/>
      <x:c r="H36" s="93"/>
      <x:c r="I36" s="93"/>
      <x:c r="J36" s="93"/>
      <x:c r="K36" s="93"/>
      <x:c r="L36" s="93"/>
      <x:c r="M36" s="93"/>
      <x:c r="N36" s="93"/>
    </x:row>
    <x:row r="37" ht="15">
      <x:c r="A37" s="93"/>
      <x:c r="B37" s="93"/>
      <x:c r="C37" s="93"/>
      <x:c r="D37" s="93"/>
      <x:c r="E37" s="93"/>
      <x:c r="F37" s="93"/>
      <x:c r="G37" s="93"/>
      <x:c r="H37" s="93"/>
      <x:c r="I37" s="93"/>
      <x:c r="J37" s="93"/>
      <x:c r="K37" s="93"/>
      <x:c r="L37" s="93"/>
      <x:c r="M37" s="93"/>
      <x:c r="N37" s="93"/>
    </x:row>
    <x:row r="38" ht="15">
      <x:c r="A38" s="93"/>
      <x:c r="B38" s="93"/>
      <x:c r="C38" s="93"/>
      <x:c r="D38" s="93"/>
      <x:c r="E38" s="93"/>
      <x:c r="F38" s="93"/>
      <x:c r="G38" s="93"/>
      <x:c r="H38" s="93"/>
      <x:c r="I38" s="93"/>
      <x:c r="J38" s="93"/>
      <x:c r="K38" s="93"/>
      <x:c r="L38" s="93"/>
      <x:c r="M38" s="93"/>
      <x:c r="N38" s="93"/>
    </x:row>
    <x:row r="39" ht="15">
      <x:c r="A39" s="93"/>
      <x:c r="B39" s="93"/>
      <x:c r="C39" s="93"/>
      <x:c r="D39" s="93"/>
      <x:c r="E39" s="93"/>
      <x:c r="F39" s="93"/>
      <x:c r="G39" s="93"/>
      <x:c r="H39" s="93"/>
      <x:c r="I39" s="93"/>
      <x:c r="J39" s="93"/>
      <x:c r="K39" s="93"/>
      <x:c r="L39" s="93"/>
      <x:c r="M39" s="93"/>
      <x:c r="N39" s="93"/>
    </x:row>
    <x:row r="40" ht="15">
      <x:c r="A40" s="93"/>
      <x:c r="B40" s="93"/>
      <x:c r="C40" s="93"/>
      <x:c r="D40" s="93"/>
      <x:c r="E40" s="93"/>
      <x:c r="F40" s="93"/>
      <x:c r="G40" s="93"/>
      <x:c r="H40" s="93"/>
      <x:c r="I40" s="93"/>
      <x:c r="J40" s="93"/>
      <x:c r="K40" s="93"/>
      <x:c r="L40" s="93"/>
      <x:c r="M40" s="93"/>
      <x:c r="N40" s="93"/>
    </x:row>
    <x:row r="41" ht="15">
      <x:c r="A41" s="93"/>
      <x:c r="B41" s="93"/>
      <x:c r="C41" s="93"/>
      <x:c r="D41" s="93"/>
      <x:c r="E41" s="93"/>
      <x:c r="F41" s="93"/>
      <x:c r="G41" s="93"/>
      <x:c r="H41" s="93"/>
      <x:c r="I41" s="93"/>
      <x:c r="J41" s="93"/>
      <x:c r="K41" s="93"/>
      <x:c r="L41" s="93"/>
      <x:c r="M41" s="93"/>
      <x:c r="N41" s="93"/>
    </x:row>
    <x:row r="42" ht="15">
      <x:c r="A42" s="93"/>
      <x:c r="B42" s="93"/>
      <x:c r="C42" s="93"/>
      <x:c r="D42" s="93"/>
      <x:c r="E42" s="93"/>
      <x:c r="F42" s="93"/>
      <x:c r="G42" s="93"/>
      <x:c r="H42" s="93"/>
      <x:c r="I42" s="93"/>
      <x:c r="J42" s="93"/>
      <x:c r="K42" s="93"/>
      <x:c r="L42" s="93"/>
      <x:c r="M42" s="93"/>
      <x:c r="N42" s="93"/>
    </x:row>
    <x:row r="43" ht="15">
      <x:c r="A43" s="93"/>
      <x:c r="B43" s="93"/>
      <x:c r="C43" s="93"/>
      <x:c r="D43" s="93"/>
      <x:c r="E43" s="93"/>
      <x:c r="F43" s="93"/>
      <x:c r="G43" s="93"/>
      <x:c r="H43" s="93"/>
      <x:c r="I43" s="93"/>
      <x:c r="J43" s="93"/>
      <x:c r="K43" s="93"/>
      <x:c r="L43" s="93"/>
      <x:c r="M43" s="93"/>
      <x:c r="N43" s="93"/>
    </x:row>
    <x:row r="44" ht="15">
      <x:c r="A44" s="93"/>
      <x:c r="B44" s="93"/>
      <x:c r="C44" s="93"/>
      <x:c r="D44" s="93"/>
      <x:c r="E44" s="93"/>
      <x:c r="F44" s="93"/>
      <x:c r="G44" s="93"/>
      <x:c r="H44" s="93"/>
      <x:c r="I44" s="93"/>
      <x:c r="J44" s="93"/>
      <x:c r="K44" s="93"/>
      <x:c r="L44" s="93"/>
      <x:c r="M44" s="93"/>
      <x:c r="N44" s="93"/>
    </x:row>
    <x:row r="45" ht="15">
      <x:c r="A45" s="93"/>
      <x:c r="B45" s="93"/>
      <x:c r="C45" s="93"/>
      <x:c r="D45" s="93"/>
      <x:c r="E45" s="93"/>
      <x:c r="F45" s="93"/>
      <x:c r="G45" s="93"/>
      <x:c r="H45" s="93"/>
      <x:c r="I45" s="93"/>
      <x:c r="J45" s="93"/>
      <x:c r="K45" s="93"/>
      <x:c r="L45" s="93"/>
      <x:c r="M45" s="93"/>
      <x:c r="N45" s="93"/>
    </x:row>
    <x:row r="46" ht="15">
      <x:c r="A46" s="93"/>
      <x:c r="B46" s="93"/>
      <x:c r="C46" s="93"/>
      <x:c r="D46" s="93"/>
      <x:c r="E46" s="93"/>
      <x:c r="F46" s="93"/>
      <x:c r="G46" s="93"/>
      <x:c r="H46" s="93"/>
      <x:c r="I46" s="93"/>
      <x:c r="J46" s="93"/>
      <x:c r="K46" s="93"/>
      <x:c r="L46" s="93"/>
      <x:c r="M46" s="93"/>
      <x:c r="N46" s="93"/>
    </x:row>
    <x:row r="47" ht="15">
      <x:c r="A47" s="93"/>
      <x:c r="B47" s="93"/>
      <x:c r="C47" s="93"/>
      <x:c r="D47" s="93"/>
      <x:c r="E47" s="93"/>
      <x:c r="F47" s="93"/>
      <x:c r="G47" s="93"/>
      <x:c r="H47" s="93"/>
      <x:c r="I47" s="93"/>
      <x:c r="J47" s="93"/>
      <x:c r="K47" s="93"/>
      <x:c r="L47" s="93"/>
      <x:c r="M47" s="93"/>
      <x:c r="N47" s="93"/>
    </x:row>
    <x:row r="48" ht="15">
      <x:c r="A48" s="93"/>
      <x:c r="B48" s="93"/>
      <x:c r="C48" s="93"/>
      <x:c r="D48" s="93"/>
      <x:c r="E48" s="93"/>
      <x:c r="F48" s="93"/>
      <x:c r="G48" s="93"/>
      <x:c r="H48" s="93"/>
      <x:c r="I48" s="93"/>
      <x:c r="J48" s="93"/>
      <x:c r="K48" s="93"/>
      <x:c r="L48" s="93"/>
      <x:c r="M48" s="93"/>
      <x:c r="N48" s="93"/>
    </x:row>
    <x:row r="49" ht="15">
      <x:c r="A49" s="93"/>
      <x:c r="B49" s="93"/>
      <x:c r="C49" s="93"/>
      <x:c r="D49" s="93"/>
      <x:c r="E49" s="93"/>
      <x:c r="F49" s="93"/>
      <x:c r="G49" s="93"/>
      <x:c r="H49" s="93"/>
      <x:c r="I49" s="93"/>
      <x:c r="J49" s="93"/>
      <x:c r="K49" s="93"/>
      <x:c r="L49" s="93"/>
      <x:c r="M49" s="93"/>
      <x:c r="N49" s="93"/>
    </x:row>
    <x:row r="50" ht="15">
      <x:c r="A50" s="93"/>
      <x:c r="B50" s="93"/>
      <x:c r="C50" s="93"/>
      <x:c r="D50" s="93"/>
      <x:c r="E50" s="93"/>
      <x:c r="F50" s="93"/>
      <x:c r="G50" s="93"/>
      <x:c r="H50" s="93"/>
      <x:c r="I50" s="93"/>
      <x:c r="J50" s="93"/>
      <x:c r="K50" s="93"/>
      <x:c r="L50" s="93"/>
      <x:c r="M50" s="93"/>
      <x:c r="N50" s="93"/>
    </x:row>
    <x:row r="51" ht="15">
      <x:c r="A51" s="93"/>
      <x:c r="B51" s="93"/>
      <x:c r="C51" s="93"/>
      <x:c r="D51" s="93"/>
      <x:c r="E51" s="93"/>
      <x:c r="F51" s="93"/>
      <x:c r="G51" s="93"/>
      <x:c r="H51" s="93"/>
      <x:c r="I51" s="93"/>
      <x:c r="J51" s="93"/>
      <x:c r="K51" s="93"/>
      <x:c r="L51" s="93"/>
      <x:c r="M51" s="93"/>
      <x:c r="N51" s="93"/>
    </x:row>
    <x:row r="52" ht="15">
      <x:c r="A52" s="93"/>
      <x:c r="B52" s="93"/>
      <x:c r="C52" s="93"/>
      <x:c r="D52" s="93"/>
      <x:c r="E52" s="93"/>
      <x:c r="F52" s="93"/>
      <x:c r="G52" s="93"/>
      <x:c r="H52" s="93"/>
      <x:c r="I52" s="93"/>
      <x:c r="J52" s="93"/>
      <x:c r="K52" s="93"/>
      <x:c r="L52" s="93"/>
      <x:c r="M52" s="93"/>
      <x:c r="N52" s="93"/>
    </x:row>
    <x:row r="53" ht="15">
      <x:c r="A53" s="93"/>
      <x:c r="B53" s="93"/>
      <x:c r="C53" s="93"/>
      <x:c r="D53" s="93"/>
      <x:c r="E53" s="93"/>
      <x:c r="F53" s="93"/>
      <x:c r="G53" s="93"/>
      <x:c r="H53" s="93"/>
      <x:c r="I53" s="93"/>
      <x:c r="J53" s="93"/>
      <x:c r="K53" s="93"/>
      <x:c r="L53" s="93"/>
      <x:c r="M53" s="93"/>
      <x:c r="N53" s="93"/>
    </x:row>
    <x:row r="54" ht="15">
      <x:c r="A54" s="93"/>
      <x:c r="B54" s="93"/>
      <x:c r="C54" s="93"/>
      <x:c r="D54" s="93"/>
      <x:c r="E54" s="93"/>
      <x:c r="F54" s="93"/>
      <x:c r="G54" s="93"/>
      <x:c r="H54" s="93"/>
      <x:c r="I54" s="93"/>
      <x:c r="J54" s="93"/>
      <x:c r="K54" s="93"/>
      <x:c r="L54" s="93"/>
      <x:c r="M54" s="93"/>
      <x:c r="N54" s="93"/>
    </x:row>
    <x:row r="55" ht="15">
      <x:c r="A55" s="93"/>
      <x:c r="B55" s="93"/>
      <x:c r="C55" s="93"/>
      <x:c r="D55" s="93"/>
      <x:c r="E55" s="93"/>
      <x:c r="F55" s="93"/>
      <x:c r="G55" s="93"/>
      <x:c r="H55" s="93"/>
      <x:c r="I55" s="93"/>
      <x:c r="J55" s="93"/>
      <x:c r="K55" s="93"/>
      <x:c r="L55" s="93"/>
      <x:c r="M55" s="93"/>
      <x:c r="N55" s="93"/>
    </x:row>
    <x:row r="56" ht="15">
      <x:c r="A56" s="93"/>
      <x:c r="B56" s="93"/>
      <x:c r="C56" s="93"/>
      <x:c r="D56" s="93"/>
      <x:c r="E56" s="93"/>
      <x:c r="F56" s="93"/>
      <x:c r="G56" s="93"/>
      <x:c r="H56" s="93"/>
      <x:c r="I56" s="93"/>
      <x:c r="J56" s="93"/>
      <x:c r="K56" s="93"/>
      <x:c r="L56" s="93"/>
      <x:c r="M56" s="93"/>
      <x:c r="N56" s="93"/>
    </x:row>
    <x:row r="57" ht="15">
      <x:c r="A57" s="93"/>
      <x:c r="B57" s="93"/>
      <x:c r="C57" s="93"/>
      <x:c r="D57" s="93"/>
      <x:c r="E57" s="93"/>
      <x:c r="F57" s="93"/>
      <x:c r="G57" s="93"/>
      <x:c r="H57" s="93"/>
      <x:c r="I57" s="93"/>
      <x:c r="J57" s="93"/>
      <x:c r="K57" s="93"/>
      <x:c r="L57" s="93"/>
      <x:c r="M57" s="93"/>
      <x:c r="N57" s="93"/>
    </x:row>
    <x:row r="58" ht="15">
      <x:c r="A58" s="93"/>
      <x:c r="B58" s="93"/>
      <x:c r="C58" s="93"/>
      <x:c r="D58" s="93"/>
      <x:c r="E58" s="93"/>
      <x:c r="F58" s="93"/>
      <x:c r="G58" s="93"/>
      <x:c r="H58" s="93"/>
      <x:c r="I58" s="93"/>
      <x:c r="J58" s="93"/>
      <x:c r="K58" s="93"/>
      <x:c r="L58" s="93"/>
      <x:c r="M58" s="93"/>
      <x:c r="N58" s="93"/>
    </x:row>
    <x:row r="59" ht="15">
      <x:c r="A59" s="93"/>
      <x:c r="B59" s="93"/>
      <x:c r="C59" s="93"/>
      <x:c r="D59" s="93"/>
      <x:c r="E59" s="93"/>
      <x:c r="F59" s="93"/>
      <x:c r="G59" s="93"/>
      <x:c r="H59" s="93"/>
      <x:c r="I59" s="93"/>
      <x:c r="J59" s="93"/>
      <x:c r="K59" s="93"/>
      <x:c r="L59" s="93"/>
      <x:c r="M59" s="93"/>
      <x:c r="N59" s="93"/>
    </x:row>
    <x:row r="60" ht="15">
      <x:c r="A60" s="93"/>
      <x:c r="B60" s="93"/>
      <x:c r="C60" s="93"/>
      <x:c r="D60" s="93"/>
      <x:c r="E60" s="93"/>
      <x:c r="F60" s="93"/>
      <x:c r="G60" s="93"/>
      <x:c r="H60" s="93"/>
      <x:c r="I60" s="93"/>
      <x:c r="J60" s="93"/>
      <x:c r="K60" s="93"/>
      <x:c r="L60" s="93"/>
      <x:c r="M60" s="93"/>
      <x:c r="N60" s="93"/>
    </x:row>
  </x:sheetData>
  <x:mergeCells>
    <x:mergeCell ref="A1:H1"/>
    <x:mergeCell ref="A2:H2"/>
  </x:mergeCells>
  <x:conditionalFormatting sqref="G5:G10">
    <x:cfRule type="colorScale" priority="1">
      <x:colorScale>
        <x:cfvo type="min"/>
        <x:cfvo type="percentile" val="50"/>
        <x:cfvo type="max"/>
        <x:color rgb="FFF7DAD7"/>
        <x:color rgb="FFF6E7C1"/>
        <x:color rgb="FFD8EEE7"/>
      </x:colorScale>
    </x:cfRule>
  </x:conditionalFormatting>
  <x:pageMargins left="0.7" right="0.7" top="0.75" bottom="0.75" header="0.3" footer="0.3"/>
  <x:drawing xmlns:r="http://schemas.openxmlformats.org/officeDocument/2006/relationships" r:id="Rc896f6c916a04465"/>
</x:worksheet>
</file>

<file path=xl/worksheets/sheet8.xml><?xml version="1.0" encoding="utf-8"?>
<x:worksheet xmlns:x="http://schemas.openxmlformats.org/spreadsheetml/2006/main">
  <x:sheetFormatPr defaultRowHeight="14.25"/>
  <x:cols>
    <x:col min="1" max="1" width="2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12" width="14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</x:cols>
  <x:sheetData>
    <x:row r="1" ht="30" customHeight="1">
      <x:c r="A1" s="174" t="str">
        <x:v>Zomato India | Customer Segment Analysis</x:v>
      </x:c>
      <x:c r="B1" s="237"/>
      <x:c r="C1" s="237"/>
      <x:c r="D1" s="237"/>
      <x:c r="E1" s="237"/>
      <x:c r="F1" s="237"/>
      <x:c r="G1" s="237"/>
      <x:c r="H1" s="238"/>
      <x:c r="I1" s="238"/>
      <x:c r="J1" s="238"/>
      <x:c r="K1" s="238"/>
      <x:c r="L1" s="238"/>
      <x:c r="M1" s="239"/>
      <x:c r="N1" s="239"/>
      <x:c r="O1" s="239"/>
      <x:c r="P1" s="239"/>
      <x:c r="Q1" s="239"/>
      <x:c r="R1" s="239"/>
      <x:c r="S1" s="239"/>
      <x:c r="T1" s="239"/>
      <x:c r="U1" s="239"/>
      <x:c r="V1" s="239"/>
      <x:c r="W1" s="239"/>
      <x:c r="X1" s="239"/>
      <x:c r="Y1" s="239"/>
      <x:c r="Z1" s="239"/>
    </x:row>
    <x:row r="2" ht="20.100000381469727" customHeight="1">
      <x:c r="A2" s="222" t="str">
        <x:v>Segment-level contribution, order economics and profitability</x:v>
      </x:c>
      <x:c r="B2" s="222"/>
      <x:c r="C2" s="222"/>
      <x:c r="D2" s="222"/>
      <x:c r="E2" s="222"/>
      <x:c r="F2" s="222"/>
      <x:c r="G2" s="222"/>
      <x:c r="H2" s="93"/>
      <x:c r="I2" s="93"/>
      <x:c r="J2" s="93"/>
      <x:c r="K2" s="93"/>
      <x:c r="L2" s="93"/>
    </x:row>
    <x:row r="3" ht="15">
      <x:c r="A3" s="222"/>
      <x:c r="B3" s="222"/>
      <x:c r="C3" s="222"/>
      <x:c r="D3" s="222"/>
      <x:c r="E3" s="222"/>
      <x:c r="F3" s="222"/>
      <x:c r="G3" s="222"/>
      <x:c r="H3" s="93"/>
      <x:c r="I3" s="93"/>
      <x:c r="J3" s="93"/>
      <x:c r="K3" s="93"/>
      <x:c r="L3" s="93"/>
    </x:row>
    <x:row r="4" ht="15">
      <x:c r="A4" s="201" t="str">
        <x:v>Customer Segment</x:v>
      </x:c>
      <x:c r="B4" s="201" t="str">
        <x:v>Revenue (₹ Cr)</x:v>
      </x:c>
      <x:c r="C4" s="201" t="str">
        <x:v>Net Profit (₹ Cr)</x:v>
      </x:c>
      <x:c r="D4" s="201" t="str">
        <x:v>Orders</x:v>
      </x:c>
      <x:c r="E4" s="201" t="str">
        <x:v>Customers</x:v>
      </x:c>
      <x:c r="F4" s="201" t="str">
        <x:v>AOV (₹)</x:v>
      </x:c>
      <x:c r="G4" s="201" t="str">
        <x:v>Margin %</x:v>
      </x:c>
      <x:c r="H4" s="201"/>
      <x:c r="I4" s="201"/>
      <x:c r="J4" s="201"/>
      <x:c r="K4" s="201"/>
      <x:c r="L4" s="201"/>
      <x:c r="M4" s="204"/>
      <x:c r="N4" s="204"/>
      <x:c r="O4" s="204"/>
      <x:c r="P4" s="204"/>
      <x:c r="Q4" s="204"/>
      <x:c r="R4" s="204"/>
      <x:c r="S4" s="204"/>
      <x:c r="T4" s="204"/>
      <x:c r="U4" s="204"/>
      <x:c r="V4" s="204"/>
      <x:c r="W4" s="204"/>
      <x:c r="X4" s="204"/>
      <x:c r="Y4" s="204"/>
      <x:c r="Z4" s="204"/>
    </x:row>
    <x:row r="5" ht="15">
      <x:c r="A5" s="187" t="str">
        <x:v>New User</x:v>
      </x:c>
      <x:c r="B5" s="224" t="n">
        <x:f>SUMIFS('Sales Transactions'!$L$5:$L$364,'Sales Transactions'!$F$5:$F$364,A5)/10000000</x:f>
        <x:v>0.28950817100000004</x:v>
      </x:c>
      <x:c r="C5" s="224" t="n">
        <x:f>SUMIFS('Sales Transactions'!$P$5:$P$364,'Sales Transactions'!$F$5:$F$364,A5)/10000000</x:f>
        <x:v>0.04014221977999999</x:v>
      </x:c>
      <x:c r="D5" s="190" t="n">
        <x:f>SUMIFS('Sales Transactions'!$H$5:$H$364,'Sales Transactions'!$F$5:$F$364,A5)</x:f>
        <x:v>7270</x:v>
      </x:c>
      <x:c r="E5" s="190" t="n">
        <x:f>COUNTIF('Sales Transactions'!$F$5:$F$364,A5)</x:f>
        <x:v>67</x:v>
      </x:c>
      <x:c r="F5" s="191" t="n">
        <x:f t="shared" ref="F5:F10" si="0">IFERROR(B5*10000000/D5,0)</x:f>
        <x:v>398.223068775791</x:v>
      </x:c>
      <x:c r="G5" s="191" t="n">
        <x:f t="shared" ref="G5:G10" si="1">IFERROR(C5/B5,0)</x:f>
        <x:v>0.13865660385799605</x:v>
      </x:c>
      <x:c r="H5" s="93"/>
      <x:c r="I5" s="93"/>
      <x:c r="J5" s="93"/>
      <x:c r="K5" s="93"/>
      <x:c r="L5" s="93"/>
    </x:row>
    <x:row r="6" ht="15">
      <x:c r="A6" s="187" t="str">
        <x:v>Repeat User</x:v>
      </x:c>
      <x:c r="B6" s="224" t="n">
        <x:f>SUMIFS('Sales Transactions'!$L$5:$L$364,'Sales Transactions'!$F$5:$F$364,A6)/10000000</x:f>
        <x:v>0.412671175</x:v>
      </x:c>
      <x:c r="C6" s="224" t="n">
        <x:f>SUMIFS('Sales Transactions'!$P$5:$P$364,'Sales Transactions'!$F$5:$F$364,A6)/10000000</x:f>
        <x:v>0.05766007187999999</x:v>
      </x:c>
      <x:c r="D6" s="190" t="n">
        <x:f>SUMIFS('Sales Transactions'!$H$5:$H$364,'Sales Transactions'!$F$5:$F$364,A6)</x:f>
        <x:v>10278</x:v>
      </x:c>
      <x:c r="E6" s="190" t="n">
        <x:f>COUNTIF('Sales Transactions'!$F$5:$F$364,A6)</x:f>
        <x:v>86</x:v>
      </x:c>
      <x:c r="F6" s="191" t="n">
        <x:f t="shared" si="0">IFERROR(B6*10000000/D6,0)</x:f>
        <x:v>401.50921871959525</x:v>
      </x:c>
      <x:c r="G6" s="191" t="n">
        <x:f t="shared" si="1">IFERROR(C6/B6,0)</x:f>
        <x:v>0.13972401120577416</x:v>
      </x:c>
      <x:c r="H6" s="93"/>
      <x:c r="I6" s="93"/>
      <x:c r="J6" s="93"/>
      <x:c r="K6" s="93"/>
      <x:c r="L6" s="93"/>
    </x:row>
    <x:row r="7" ht="15">
      <x:c r="A7" s="187" t="str">
        <x:v>Gold User</x:v>
      </x:c>
      <x:c r="B7" s="224" t="n">
        <x:f>SUMIFS('Sales Transactions'!$L$5:$L$364,'Sales Transactions'!$F$5:$F$364,A7)/10000000</x:f>
        <x:v>0.23262676899999996</x:v>
      </x:c>
      <x:c r="C7" s="224" t="n">
        <x:f>SUMIFS('Sales Transactions'!$P$5:$P$364,'Sales Transactions'!$F$5:$F$364,A7)/10000000</x:f>
        <x:v>0.032816010470000004</x:v>
      </x:c>
      <x:c r="D7" s="190" t="n">
        <x:f>SUMIFS('Sales Transactions'!$H$5:$H$364,'Sales Transactions'!$F$5:$F$364,A7)</x:f>
        <x:v>6085</x:v>
      </x:c>
      <x:c r="E7" s="190" t="n">
        <x:f>COUNTIF('Sales Transactions'!$F$5:$F$364,A7)</x:f>
        <x:v>46</x:v>
      </x:c>
      <x:c r="F7" s="191" t="n">
        <x:f t="shared" si="0">IFERROR(B7*10000000/D7,0)</x:f>
        <x:v>382.29542974527516</x:v>
      </x:c>
      <x:c r="G7" s="191" t="n">
        <x:f t="shared" si="1">IFERROR(C7/B7,0)</x:f>
        <x:v>0.1410672151406617</x:v>
      </x:c>
      <x:c r="H7" s="93"/>
      <x:c r="I7" s="93"/>
      <x:c r="J7" s="93"/>
      <x:c r="K7" s="93"/>
      <x:c r="L7" s="93"/>
    </x:row>
    <x:row r="8" ht="15">
      <x:c r="A8" s="187" t="str">
        <x:v>Corporate</x:v>
      </x:c>
      <x:c r="B8" s="224" t="n">
        <x:f>SUMIFS('Sales Transactions'!$L$5:$L$364,'Sales Transactions'!$F$5:$F$364,A8)/10000000</x:f>
        <x:v>0.222120183</x:v>
      </x:c>
      <x:c r="C8" s="224" t="n">
        <x:f>SUMIFS('Sales Transactions'!$P$5:$P$364,'Sales Transactions'!$F$5:$F$364,A8)/10000000</x:f>
        <x:v>0.030984697849999996</x:v>
      </x:c>
      <x:c r="D8" s="190" t="n">
        <x:f>SUMIFS('Sales Transactions'!$H$5:$H$364,'Sales Transactions'!$F$5:$F$364,A8)</x:f>
        <x:v>5448</x:v>
      </x:c>
      <x:c r="E8" s="190" t="n">
        <x:f>COUNTIF('Sales Transactions'!$F$5:$F$364,A8)</x:f>
        <x:v>39</x:v>
      </x:c>
      <x:c r="F8" s="191" t="n">
        <x:f t="shared" si="0">IFERROR(B8*10000000/D8,0)</x:f>
        <x:v>407.7095870044053</x:v>
      </x:c>
      <x:c r="G8" s="191" t="n">
        <x:f t="shared" si="1">IFERROR(C8/B8,0)</x:f>
        <x:v>0.13949519323959855</x:v>
      </x:c>
      <x:c r="H8" s="93"/>
      <x:c r="I8" s="93"/>
      <x:c r="J8" s="93"/>
      <x:c r="K8" s="93"/>
      <x:c r="L8" s="93"/>
    </x:row>
    <x:row r="9" ht="15">
      <x:c r="A9" s="187" t="str">
        <x:v>Budget</x:v>
      </x:c>
      <x:c r="B9" s="224" t="n">
        <x:f>SUMIFS('Sales Transactions'!$L$5:$L$364,'Sales Transactions'!$F$5:$F$364,A9)/10000000</x:f>
        <x:v>0.2540737860000001</x:v>
      </x:c>
      <x:c r="C9" s="224" t="n">
        <x:f>SUMIFS('Sales Transactions'!$P$5:$P$364,'Sales Transactions'!$F$5:$F$364,A9)/10000000</x:f>
        <x:v>0.03491063286000001</x:v>
      </x:c>
      <x:c r="D9" s="190" t="n">
        <x:f>SUMIFS('Sales Transactions'!$H$5:$H$364,'Sales Transactions'!$F$5:$F$364,A9)</x:f>
        <x:v>6341</x:v>
      </x:c>
      <x:c r="E9" s="190" t="n">
        <x:f>COUNTIF('Sales Transactions'!$F$5:$F$364,A9)</x:f>
        <x:v>68</x:v>
      </x:c>
      <x:c r="F9" s="191" t="n">
        <x:f t="shared" si="0">IFERROR(B9*10000000/D9,0)</x:f>
        <x:v>400.68409714556077</x:v>
      </x:c>
      <x:c r="G9" s="191" t="n">
        <x:f t="shared" si="1">IFERROR(C9/B9,0)</x:f>
        <x:v>0.13740352127472136</x:v>
      </x:c>
      <x:c r="H9" s="93"/>
      <x:c r="I9" s="93"/>
      <x:c r="J9" s="93"/>
      <x:c r="K9" s="93"/>
      <x:c r="L9" s="93"/>
    </x:row>
    <x:row r="10" ht="15">
      <x:c r="A10" s="187" t="str">
        <x:v>Student</x:v>
      </x:c>
      <x:c r="B10" s="224" t="n">
        <x:f>SUMIFS('Sales Transactions'!$L$5:$L$364,'Sales Transactions'!$F$5:$F$364,A10)/10000000</x:f>
        <x:v>0.20187949500000002</x:v>
      </x:c>
      <x:c r="C10" s="224" t="n">
        <x:f>SUMIFS('Sales Transactions'!$P$5:$P$364,'Sales Transactions'!$F$5:$F$364,A10)/10000000</x:f>
        <x:v>0.02783323869999999</x:v>
      </x:c>
      <x:c r="D10" s="190" t="n">
        <x:f>SUMIFS('Sales Transactions'!$H$5:$H$364,'Sales Transactions'!$F$5:$F$364,A10)</x:f>
        <x:v>4961</x:v>
      </x:c>
      <x:c r="E10" s="190" t="n">
        <x:f>COUNTIF('Sales Transactions'!$F$5:$F$364,A10)</x:f>
        <x:v>54</x:v>
      </x:c>
      <x:c r="F10" s="191" t="n">
        <x:f t="shared" si="0">IFERROR(B10*10000000/D10,0)</x:f>
        <x:v>406.9330679298529</x:v>
      </x:c>
      <x:c r="G10" s="191" t="n">
        <x:f t="shared" si="1">IFERROR(C10/B10,0)</x:f>
        <x:v>0.1378705583744401</x:v>
      </x:c>
      <x:c r="H10" s="93"/>
      <x:c r="I10" s="93"/>
      <x:c r="J10" s="93"/>
      <x:c r="K10" s="93"/>
      <x:c r="L10" s="93"/>
    </x:row>
    <x:row r="11" ht="15">
      <x:c r="A11" s="93"/>
      <x:c r="B11" s="93"/>
      <x:c r="C11" s="93"/>
      <x:c r="D11" s="93"/>
      <x:c r="E11" s="93"/>
      <x:c r="F11" s="93"/>
      <x:c r="G11" s="93"/>
      <x:c r="H11" s="93"/>
      <x:c r="I11" s="93"/>
      <x:c r="J11" s="93"/>
      <x:c r="K11" s="93"/>
      <x:c r="L11" s="93"/>
    </x:row>
    <x:row r="12" ht="15">
      <x:c r="A12" s="93"/>
      <x:c r="B12" s="93"/>
      <x:c r="C12" s="93"/>
      <x:c r="D12" s="93"/>
      <x:c r="E12" s="93"/>
      <x:c r="F12" s="93"/>
      <x:c r="G12" s="93"/>
      <x:c r="H12" s="93"/>
      <x:c r="I12" s="93"/>
      <x:c r="J12" s="93"/>
      <x:c r="K12" s="93"/>
      <x:c r="L12" s="93"/>
    </x:row>
    <x:row r="13" ht="15">
      <x:c r="A13" s="93"/>
      <x:c r="B13" s="93"/>
      <x:c r="C13" s="93"/>
      <x:c r="D13" s="93"/>
      <x:c r="E13" s="93"/>
      <x:c r="F13" s="93"/>
      <x:c r="G13" s="93"/>
      <x:c r="H13" s="93"/>
      <x:c r="I13" s="93"/>
      <x:c r="J13" s="93"/>
      <x:c r="K13" s="93"/>
      <x:c r="L13" s="93"/>
    </x:row>
    <x:row r="14" ht="15">
      <x:c r="A14" s="93"/>
      <x:c r="B14" s="93"/>
      <x:c r="C14" s="93"/>
      <x:c r="D14" s="93"/>
      <x:c r="E14" s="93"/>
      <x:c r="F14" s="93"/>
      <x:c r="G14" s="93"/>
      <x:c r="H14" s="93"/>
      <x:c r="I14" s="93"/>
      <x:c r="J14" s="93"/>
      <x:c r="K14" s="93"/>
      <x:c r="L14" s="93"/>
    </x:row>
    <x:row r="15" ht="15">
      <x:c r="A15" s="93"/>
      <x:c r="B15" s="93"/>
      <x:c r="C15" s="93"/>
      <x:c r="D15" s="93"/>
      <x:c r="E15" s="93"/>
      <x:c r="F15" s="93"/>
      <x:c r="G15" s="93"/>
      <x:c r="H15" s="93"/>
      <x:c r="I15" s="93"/>
      <x:c r="J15" s="93"/>
      <x:c r="K15" s="93"/>
      <x:c r="L15" s="93"/>
    </x:row>
    <x:row r="16" ht="15">
      <x:c r="A16" s="93"/>
      <x:c r="B16" s="93"/>
      <x:c r="C16" s="93"/>
      <x:c r="D16" s="93"/>
      <x:c r="E16" s="93"/>
      <x:c r="F16" s="93"/>
      <x:c r="G16" s="93"/>
      <x:c r="H16" s="93"/>
      <x:c r="I16" s="93"/>
      <x:c r="J16" s="93"/>
      <x:c r="K16" s="93"/>
      <x:c r="L16" s="93"/>
    </x:row>
    <x:row r="17" ht="15">
      <x:c r="A17" s="93"/>
      <x:c r="B17" s="93"/>
      <x:c r="C17" s="93"/>
      <x:c r="D17" s="93"/>
      <x:c r="E17" s="93"/>
      <x:c r="F17" s="93"/>
      <x:c r="G17" s="93"/>
      <x:c r="H17" s="93"/>
      <x:c r="I17" s="93"/>
      <x:c r="J17" s="93"/>
      <x:c r="K17" s="93"/>
      <x:c r="L17" s="93"/>
    </x:row>
    <x:row r="18" ht="15">
      <x:c r="A18" s="93"/>
      <x:c r="B18" s="93"/>
      <x:c r="C18" s="93"/>
      <x:c r="D18" s="93"/>
      <x:c r="E18" s="93"/>
      <x:c r="F18" s="93"/>
      <x:c r="G18" s="93"/>
      <x:c r="H18" s="93"/>
      <x:c r="I18" s="93"/>
      <x:c r="J18" s="93"/>
      <x:c r="K18" s="93"/>
      <x:c r="L18" s="93"/>
    </x:row>
    <x:row r="19" ht="15">
      <x:c r="A19" s="93"/>
      <x:c r="B19" s="93"/>
      <x:c r="C19" s="93"/>
      <x:c r="D19" s="93"/>
      <x:c r="E19" s="93"/>
      <x:c r="F19" s="93"/>
      <x:c r="G19" s="93"/>
      <x:c r="H19" s="93"/>
      <x:c r="I19" s="93"/>
      <x:c r="J19" s="93"/>
      <x:c r="K19" s="93"/>
      <x:c r="L19" s="93"/>
    </x:row>
    <x:row r="20" ht="15">
      <x:c r="A20" s="93"/>
      <x:c r="B20" s="93"/>
      <x:c r="C20" s="93"/>
      <x:c r="D20" s="93"/>
      <x:c r="E20" s="93"/>
      <x:c r="F20" s="93"/>
      <x:c r="G20" s="93"/>
      <x:c r="H20" s="93"/>
      <x:c r="I20" s="93"/>
      <x:c r="J20" s="93"/>
      <x:c r="K20" s="93"/>
      <x:c r="L20" s="93"/>
    </x:row>
    <x:row r="21" ht="15">
      <x:c r="A21" s="93"/>
      <x:c r="B21" s="93"/>
      <x:c r="C21" s="93"/>
      <x:c r="D21" s="93"/>
      <x:c r="E21" s="93"/>
      <x:c r="F21" s="93"/>
      <x:c r="G21" s="93"/>
      <x:c r="H21" s="93"/>
      <x:c r="I21" s="93"/>
      <x:c r="J21" s="93"/>
      <x:c r="K21" s="93"/>
      <x:c r="L21" s="93"/>
    </x:row>
    <x:row r="22" ht="15">
      <x:c r="A22" s="93"/>
      <x:c r="B22" s="93"/>
      <x:c r="C22" s="93"/>
      <x:c r="D22" s="93"/>
      <x:c r="E22" s="93"/>
      <x:c r="F22" s="93"/>
      <x:c r="G22" s="93"/>
      <x:c r="H22" s="93"/>
      <x:c r="I22" s="93"/>
      <x:c r="J22" s="93"/>
      <x:c r="K22" s="93"/>
      <x:c r="L22" s="93"/>
    </x:row>
    <x:row r="23" ht="15">
      <x:c r="A23" s="93"/>
      <x:c r="B23" s="93"/>
      <x:c r="C23" s="93"/>
      <x:c r="D23" s="93"/>
      <x:c r="E23" s="93"/>
      <x:c r="F23" s="93"/>
      <x:c r="G23" s="93"/>
      <x:c r="H23" s="93"/>
      <x:c r="I23" s="93"/>
      <x:c r="J23" s="93"/>
      <x:c r="K23" s="93"/>
      <x:c r="L23" s="93"/>
    </x:row>
    <x:row r="24" ht="15">
      <x:c r="A24" s="93"/>
      <x:c r="B24" s="93"/>
      <x:c r="C24" s="93"/>
      <x:c r="D24" s="93"/>
      <x:c r="E24" s="93"/>
      <x:c r="F24" s="93"/>
      <x:c r="G24" s="93"/>
      <x:c r="H24" s="93"/>
      <x:c r="I24" s="93"/>
      <x:c r="J24" s="93"/>
      <x:c r="K24" s="93"/>
      <x:c r="L24" s="93"/>
    </x:row>
    <x:row r="25" ht="15">
      <x:c r="A25" s="93"/>
      <x:c r="B25" s="93"/>
      <x:c r="C25" s="93"/>
      <x:c r="D25" s="93"/>
      <x:c r="E25" s="93"/>
      <x:c r="F25" s="93"/>
      <x:c r="G25" s="93"/>
      <x:c r="H25" s="93"/>
      <x:c r="I25" s="93"/>
      <x:c r="J25" s="93"/>
      <x:c r="K25" s="93"/>
      <x:c r="L25" s="93"/>
    </x:row>
    <x:row r="26" ht="15">
      <x:c r="A26" s="93"/>
      <x:c r="B26" s="93"/>
      <x:c r="C26" s="93"/>
      <x:c r="D26" s="93"/>
      <x:c r="E26" s="93"/>
      <x:c r="F26" s="93"/>
      <x:c r="G26" s="93"/>
      <x:c r="H26" s="93"/>
      <x:c r="I26" s="93"/>
      <x:c r="J26" s="93"/>
      <x:c r="K26" s="93"/>
      <x:c r="L26" s="93"/>
    </x:row>
    <x:row r="27" ht="15">
      <x:c r="A27" s="93"/>
      <x:c r="B27" s="93"/>
      <x:c r="C27" s="93"/>
      <x:c r="D27" s="93"/>
      <x:c r="E27" s="93"/>
      <x:c r="F27" s="93"/>
      <x:c r="G27" s="93"/>
      <x:c r="H27" s="93"/>
      <x:c r="I27" s="93"/>
      <x:c r="J27" s="93"/>
      <x:c r="K27" s="93"/>
      <x:c r="L27" s="93"/>
    </x:row>
    <x:row r="28" ht="15">
      <x:c r="A28" s="93"/>
      <x:c r="B28" s="93"/>
      <x:c r="C28" s="93"/>
      <x:c r="D28" s="93"/>
      <x:c r="E28" s="93"/>
      <x:c r="F28" s="93"/>
      <x:c r="G28" s="93"/>
      <x:c r="H28" s="93"/>
      <x:c r="I28" s="93"/>
      <x:c r="J28" s="93"/>
      <x:c r="K28" s="93"/>
      <x:c r="L28" s="93"/>
    </x:row>
    <x:row r="29" ht="15">
      <x:c r="A29" s="93"/>
      <x:c r="B29" s="93"/>
      <x:c r="C29" s="93"/>
      <x:c r="D29" s="93"/>
      <x:c r="E29" s="93"/>
      <x:c r="F29" s="93"/>
      <x:c r="G29" s="93"/>
      <x:c r="H29" s="93"/>
      <x:c r="I29" s="93"/>
      <x:c r="J29" s="93"/>
      <x:c r="K29" s="93"/>
      <x:c r="L29" s="93"/>
    </x:row>
    <x:row r="30" ht="15">
      <x:c r="A30" s="93"/>
      <x:c r="B30" s="93"/>
      <x:c r="C30" s="93"/>
      <x:c r="D30" s="93"/>
      <x:c r="E30" s="93"/>
      <x:c r="F30" s="93"/>
      <x:c r="G30" s="93"/>
      <x:c r="H30" s="93"/>
      <x:c r="I30" s="93"/>
      <x:c r="J30" s="93"/>
      <x:c r="K30" s="93"/>
      <x:c r="L30" s="93"/>
    </x:row>
    <x:row r="31" ht="15">
      <x:c r="A31" s="93"/>
      <x:c r="B31" s="93"/>
      <x:c r="C31" s="93"/>
      <x:c r="D31" s="93"/>
      <x:c r="E31" s="93"/>
      <x:c r="F31" s="93"/>
      <x:c r="G31" s="93"/>
      <x:c r="H31" s="93"/>
      <x:c r="I31" s="93"/>
      <x:c r="J31" s="93"/>
      <x:c r="K31" s="93"/>
      <x:c r="L31" s="93"/>
    </x:row>
    <x:row r="32" ht="15">
      <x:c r="A32" s="93"/>
      <x:c r="B32" s="93"/>
      <x:c r="C32" s="93"/>
      <x:c r="D32" s="93"/>
      <x:c r="E32" s="93"/>
      <x:c r="F32" s="93"/>
      <x:c r="G32" s="93"/>
      <x:c r="H32" s="93"/>
      <x:c r="I32" s="93"/>
      <x:c r="J32" s="93"/>
      <x:c r="K32" s="93"/>
      <x:c r="L32" s="93"/>
    </x:row>
    <x:row r="33" ht="15">
      <x:c r="A33" s="93"/>
      <x:c r="B33" s="93"/>
      <x:c r="C33" s="93"/>
      <x:c r="D33" s="93"/>
      <x:c r="E33" s="93"/>
      <x:c r="F33" s="93"/>
      <x:c r="G33" s="93"/>
      <x:c r="H33" s="93"/>
      <x:c r="I33" s="93"/>
      <x:c r="J33" s="93"/>
      <x:c r="K33" s="93"/>
      <x:c r="L33" s="93"/>
    </x:row>
    <x:row r="34" ht="15">
      <x:c r="A34" s="93"/>
      <x:c r="B34" s="93"/>
      <x:c r="C34" s="93"/>
      <x:c r="D34" s="93"/>
      <x:c r="E34" s="93"/>
      <x:c r="F34" s="93"/>
      <x:c r="G34" s="93"/>
      <x:c r="H34" s="93"/>
      <x:c r="I34" s="93"/>
      <x:c r="J34" s="93"/>
      <x:c r="K34" s="93"/>
      <x:c r="L34" s="93"/>
    </x:row>
    <x:row r="35" ht="15">
      <x:c r="A35" s="93"/>
      <x:c r="B35" s="93"/>
      <x:c r="C35" s="93"/>
      <x:c r="D35" s="93"/>
      <x:c r="E35" s="93"/>
      <x:c r="F35" s="93"/>
      <x:c r="G35" s="93"/>
      <x:c r="H35" s="93"/>
      <x:c r="I35" s="93"/>
      <x:c r="J35" s="93"/>
      <x:c r="K35" s="93"/>
      <x:c r="L35" s="93"/>
    </x:row>
    <x:row r="36" ht="15">
      <x:c r="A36" s="93"/>
      <x:c r="B36" s="93"/>
      <x:c r="C36" s="93"/>
      <x:c r="D36" s="93"/>
      <x:c r="E36" s="93"/>
      <x:c r="F36" s="93"/>
      <x:c r="G36" s="93"/>
      <x:c r="H36" s="93"/>
      <x:c r="I36" s="93"/>
      <x:c r="J36" s="93"/>
      <x:c r="K36" s="93"/>
      <x:c r="L36" s="93"/>
    </x:row>
    <x:row r="37" ht="15">
      <x:c r="A37" s="93"/>
      <x:c r="B37" s="93"/>
      <x:c r="C37" s="93"/>
      <x:c r="D37" s="93"/>
      <x:c r="E37" s="93"/>
      <x:c r="F37" s="93"/>
      <x:c r="G37" s="93"/>
      <x:c r="H37" s="93"/>
      <x:c r="I37" s="93"/>
      <x:c r="J37" s="93"/>
      <x:c r="K37" s="93"/>
      <x:c r="L37" s="93"/>
    </x:row>
    <x:row r="38" ht="15">
      <x:c r="A38" s="93"/>
      <x:c r="B38" s="93"/>
      <x:c r="C38" s="93"/>
      <x:c r="D38" s="93"/>
      <x:c r="E38" s="93"/>
      <x:c r="F38" s="93"/>
      <x:c r="G38" s="93"/>
      <x:c r="H38" s="93"/>
      <x:c r="I38" s="93"/>
      <x:c r="J38" s="93"/>
      <x:c r="K38" s="93"/>
      <x:c r="L38" s="93"/>
    </x:row>
    <x:row r="39" ht="15">
      <x:c r="A39" s="93"/>
      <x:c r="B39" s="93"/>
      <x:c r="C39" s="93"/>
      <x:c r="D39" s="93"/>
      <x:c r="E39" s="93"/>
      <x:c r="F39" s="93"/>
      <x:c r="G39" s="93"/>
      <x:c r="H39" s="93"/>
      <x:c r="I39" s="93"/>
      <x:c r="J39" s="93"/>
      <x:c r="K39" s="93"/>
      <x:c r="L39" s="93"/>
    </x:row>
    <x:row r="40" ht="15">
      <x:c r="A40" s="93"/>
      <x:c r="B40" s="93"/>
      <x:c r="C40" s="93"/>
      <x:c r="D40" s="93"/>
      <x:c r="E40" s="93"/>
      <x:c r="F40" s="93"/>
      <x:c r="G40" s="93"/>
      <x:c r="H40" s="93"/>
      <x:c r="I40" s="93"/>
      <x:c r="J40" s="93"/>
      <x:c r="K40" s="93"/>
      <x:c r="L40" s="93"/>
    </x:row>
    <x:row r="41" ht="15">
      <x:c r="A41" s="93"/>
      <x:c r="B41" s="93"/>
      <x:c r="C41" s="93"/>
      <x:c r="D41" s="93"/>
      <x:c r="E41" s="93"/>
      <x:c r="F41" s="93"/>
      <x:c r="G41" s="93"/>
      <x:c r="H41" s="93"/>
      <x:c r="I41" s="93"/>
      <x:c r="J41" s="93"/>
      <x:c r="K41" s="93"/>
      <x:c r="L41" s="93"/>
    </x:row>
    <x:row r="42" ht="15">
      <x:c r="A42" s="93"/>
      <x:c r="B42" s="93"/>
      <x:c r="C42" s="93"/>
      <x:c r="D42" s="93"/>
      <x:c r="E42" s="93"/>
      <x:c r="F42" s="93"/>
      <x:c r="G42" s="93"/>
      <x:c r="H42" s="93"/>
      <x:c r="I42" s="93"/>
      <x:c r="J42" s="93"/>
      <x:c r="K42" s="93"/>
      <x:c r="L42" s="93"/>
    </x:row>
    <x:row r="43" ht="15">
      <x:c r="A43" s="93"/>
      <x:c r="B43" s="93"/>
      <x:c r="C43" s="93"/>
      <x:c r="D43" s="93"/>
      <x:c r="E43" s="93"/>
      <x:c r="F43" s="93"/>
      <x:c r="G43" s="93"/>
      <x:c r="H43" s="93"/>
      <x:c r="I43" s="93"/>
      <x:c r="J43" s="93"/>
      <x:c r="K43" s="93"/>
      <x:c r="L43" s="93"/>
    </x:row>
    <x:row r="44" ht="15">
      <x:c r="A44" s="93"/>
      <x:c r="B44" s="93"/>
      <x:c r="C44" s="93"/>
      <x:c r="D44" s="93"/>
      <x:c r="E44" s="93"/>
      <x:c r="F44" s="93"/>
      <x:c r="G44" s="93"/>
      <x:c r="H44" s="93"/>
      <x:c r="I44" s="93"/>
      <x:c r="J44" s="93"/>
      <x:c r="K44" s="93"/>
      <x:c r="L44" s="93"/>
    </x:row>
    <x:row r="45" ht="15">
      <x:c r="A45" s="93"/>
      <x:c r="B45" s="93"/>
      <x:c r="C45" s="93"/>
      <x:c r="D45" s="93"/>
      <x:c r="E45" s="93"/>
      <x:c r="F45" s="93"/>
      <x:c r="G45" s="93"/>
      <x:c r="H45" s="93"/>
      <x:c r="I45" s="93"/>
      <x:c r="J45" s="93"/>
      <x:c r="K45" s="93"/>
      <x:c r="L45" s="93"/>
    </x:row>
    <x:row r="46" ht="15">
      <x:c r="A46" s="93"/>
      <x:c r="B46" s="93"/>
      <x:c r="C46" s="93"/>
      <x:c r="D46" s="93"/>
      <x:c r="E46" s="93"/>
      <x:c r="F46" s="93"/>
      <x:c r="G46" s="93"/>
      <x:c r="H46" s="93"/>
      <x:c r="I46" s="93"/>
      <x:c r="J46" s="93"/>
      <x:c r="K46" s="93"/>
      <x:c r="L46" s="93"/>
    </x:row>
    <x:row r="47" ht="15">
      <x:c r="A47" s="93"/>
      <x:c r="B47" s="93"/>
      <x:c r="C47" s="93"/>
      <x:c r="D47" s="93"/>
      <x:c r="E47" s="93"/>
      <x:c r="F47" s="93"/>
      <x:c r="G47" s="93"/>
      <x:c r="H47" s="93"/>
      <x:c r="I47" s="93"/>
      <x:c r="J47" s="93"/>
      <x:c r="K47" s="93"/>
      <x:c r="L47" s="93"/>
    </x:row>
    <x:row r="48" ht="15">
      <x:c r="A48" s="93"/>
      <x:c r="B48" s="93"/>
      <x:c r="C48" s="93"/>
      <x:c r="D48" s="93"/>
      <x:c r="E48" s="93"/>
      <x:c r="F48" s="93"/>
      <x:c r="G48" s="93"/>
      <x:c r="H48" s="93"/>
      <x:c r="I48" s="93"/>
      <x:c r="J48" s="93"/>
      <x:c r="K48" s="93"/>
      <x:c r="L48" s="93"/>
    </x:row>
    <x:row r="49" ht="15">
      <x:c r="A49" s="93"/>
      <x:c r="B49" s="93"/>
      <x:c r="C49" s="93"/>
      <x:c r="D49" s="93"/>
      <x:c r="E49" s="93"/>
      <x:c r="F49" s="93"/>
      <x:c r="G49" s="93"/>
      <x:c r="H49" s="93"/>
      <x:c r="I49" s="93"/>
      <x:c r="J49" s="93"/>
      <x:c r="K49" s="93"/>
      <x:c r="L49" s="93"/>
    </x:row>
    <x:row r="50" ht="15">
      <x:c r="A50" s="93"/>
      <x:c r="B50" s="93"/>
      <x:c r="C50" s="93"/>
      <x:c r="D50" s="93"/>
      <x:c r="E50" s="93"/>
      <x:c r="F50" s="93"/>
      <x:c r="G50" s="93"/>
      <x:c r="H50" s="93"/>
      <x:c r="I50" s="93"/>
      <x:c r="J50" s="93"/>
      <x:c r="K50" s="93"/>
      <x:c r="L50" s="93"/>
    </x:row>
    <x:row r="51" ht="15">
      <x:c r="A51" s="93"/>
      <x:c r="B51" s="93"/>
      <x:c r="C51" s="93"/>
      <x:c r="D51" s="93"/>
      <x:c r="E51" s="93"/>
      <x:c r="F51" s="93"/>
      <x:c r="G51" s="93"/>
      <x:c r="H51" s="93"/>
      <x:c r="I51" s="93"/>
      <x:c r="J51" s="93"/>
      <x:c r="K51" s="93"/>
      <x:c r="L51" s="93"/>
    </x:row>
    <x:row r="52" ht="15">
      <x:c r="A52" s="93"/>
      <x:c r="B52" s="93"/>
      <x:c r="C52" s="93"/>
      <x:c r="D52" s="93"/>
      <x:c r="E52" s="93"/>
      <x:c r="F52" s="93"/>
      <x:c r="G52" s="93"/>
      <x:c r="H52" s="93"/>
      <x:c r="I52" s="93"/>
      <x:c r="J52" s="93"/>
      <x:c r="K52" s="93"/>
      <x:c r="L52" s="93"/>
    </x:row>
    <x:row r="53" ht="15">
      <x:c r="A53" s="93"/>
      <x:c r="B53" s="93"/>
      <x:c r="C53" s="93"/>
      <x:c r="D53" s="93"/>
      <x:c r="E53" s="93"/>
      <x:c r="F53" s="93"/>
      <x:c r="G53" s="93"/>
      <x:c r="H53" s="93"/>
      <x:c r="I53" s="93"/>
      <x:c r="J53" s="93"/>
      <x:c r="K53" s="93"/>
      <x:c r="L53" s="93"/>
    </x:row>
    <x:row r="54" ht="15">
      <x:c r="A54" s="93"/>
      <x:c r="B54" s="93"/>
      <x:c r="C54" s="93"/>
      <x:c r="D54" s="93"/>
      <x:c r="E54" s="93"/>
      <x:c r="F54" s="93"/>
      <x:c r="G54" s="93"/>
      <x:c r="H54" s="93"/>
      <x:c r="I54" s="93"/>
      <x:c r="J54" s="93"/>
      <x:c r="K54" s="93"/>
      <x:c r="L54" s="93"/>
    </x:row>
    <x:row r="55" ht="15">
      <x:c r="A55" s="93"/>
      <x:c r="B55" s="93"/>
      <x:c r="C55" s="93"/>
      <x:c r="D55" s="93"/>
      <x:c r="E55" s="93"/>
      <x:c r="F55" s="93"/>
      <x:c r="G55" s="93"/>
      <x:c r="H55" s="93"/>
      <x:c r="I55" s="93"/>
      <x:c r="J55" s="93"/>
      <x:c r="K55" s="93"/>
      <x:c r="L55" s="93"/>
    </x:row>
    <x:row r="56" ht="15">
      <x:c r="A56" s="93"/>
      <x:c r="B56" s="93"/>
      <x:c r="C56" s="93"/>
      <x:c r="D56" s="93"/>
      <x:c r="E56" s="93"/>
      <x:c r="F56" s="93"/>
      <x:c r="G56" s="93"/>
      <x:c r="H56" s="93"/>
      <x:c r="I56" s="93"/>
      <x:c r="J56" s="93"/>
      <x:c r="K56" s="93"/>
      <x:c r="L56" s="93"/>
    </x:row>
    <x:row r="57" ht="15">
      <x:c r="A57" s="93"/>
      <x:c r="B57" s="93"/>
      <x:c r="C57" s="93"/>
      <x:c r="D57" s="93"/>
      <x:c r="E57" s="93"/>
      <x:c r="F57" s="93"/>
      <x:c r="G57" s="93"/>
      <x:c r="H57" s="93"/>
      <x:c r="I57" s="93"/>
      <x:c r="J57" s="93"/>
      <x:c r="K57" s="93"/>
      <x:c r="L57" s="93"/>
    </x:row>
    <x:row r="58" ht="15">
      <x:c r="A58" s="93"/>
      <x:c r="B58" s="93"/>
      <x:c r="C58" s="93"/>
      <x:c r="D58" s="93"/>
      <x:c r="E58" s="93"/>
      <x:c r="F58" s="93"/>
      <x:c r="G58" s="93"/>
      <x:c r="H58" s="93"/>
      <x:c r="I58" s="93"/>
      <x:c r="J58" s="93"/>
      <x:c r="K58" s="93"/>
      <x:c r="L58" s="93"/>
    </x:row>
    <x:row r="59" ht="15">
      <x:c r="A59" s="93"/>
      <x:c r="B59" s="93"/>
      <x:c r="C59" s="93"/>
      <x:c r="D59" s="93"/>
      <x:c r="E59" s="93"/>
      <x:c r="F59" s="93"/>
      <x:c r="G59" s="93"/>
      <x:c r="H59" s="93"/>
      <x:c r="I59" s="93"/>
      <x:c r="J59" s="93"/>
      <x:c r="K59" s="93"/>
      <x:c r="L59" s="93"/>
    </x:row>
    <x:row r="60" ht="15">
      <x:c r="A60" s="93"/>
      <x:c r="B60" s="93"/>
      <x:c r="C60" s="93"/>
      <x:c r="D60" s="93"/>
      <x:c r="E60" s="93"/>
      <x:c r="F60" s="93"/>
      <x:c r="G60" s="93"/>
      <x:c r="H60" s="93"/>
      <x:c r="I60" s="93"/>
      <x:c r="J60" s="93"/>
      <x:c r="K60" s="93"/>
      <x:c r="L60" s="93"/>
    </x:row>
  </x:sheetData>
  <x:mergeCells>
    <x:mergeCell ref="A1:G1"/>
    <x:mergeCell ref="A2:G2"/>
  </x:mergeCells>
  <x:pageMargins left="0.7" right="0.7" top="0.75" bottom="0.75" header="0.3" footer="0.3"/>
  <x:drawing xmlns:r="http://schemas.openxmlformats.org/officeDocument/2006/relationships" r:id="Re8b00c702357433d"/>
</x:worksheet>
</file>

<file path=xl/worksheets/sheet9.xml><?xml version="1.0" encoding="utf-8"?>
<x:worksheet xmlns:x="http://schemas.openxmlformats.org/spreadsheetml/2006/main">
  <x:sheetFormatPr defaultRowHeight="14.25"/>
  <x:cols>
    <x:col min="1" max="1" width="16" hidden="0" customWidth="1"/>
    <x:col min="2" max="2" width="18" hidden="0" customWidth="1"/>
    <x:col min="3" max="3" width="48" hidden="0" customWidth="1"/>
    <x:col min="4" max="4" width="16" hidden="0" customWidth="1"/>
    <x:col min="5" max="5" width="26" hidden="0" customWidth="1"/>
    <x:col min="6" max="10" width="14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</x:cols>
  <x:sheetData>
    <x:row r="1" ht="30" customHeight="1">
      <x:c r="A1" s="174" t="str">
        <x:v>Zomato India | Executive Summary</x:v>
      </x:c>
      <x:c r="B1" s="174"/>
      <x:c r="C1" s="174"/>
      <x:c r="D1" s="174"/>
      <x:c r="E1" s="174"/>
      <x:c r="F1" s="93"/>
      <x:c r="G1" s="93"/>
      <x:c r="H1" s="93"/>
      <x:c r="I1" s="93"/>
      <x:c r="J1" s="93"/>
    </x:row>
    <x:row r="2" ht="20.100000381469727" customHeight="1">
      <x:c r="A2" s="222" t="str">
        <x:v>Board-level briefing | Fictional management reporting | MBA portfolio project</x:v>
      </x:c>
      <x:c r="B2" s="222"/>
      <x:c r="C2" s="222"/>
      <x:c r="D2" s="222"/>
      <x:c r="E2" s="222"/>
      <x:c r="F2" s="93"/>
      <x:c r="G2" s="93"/>
      <x:c r="H2" s="93"/>
      <x:c r="I2" s="93"/>
      <x:c r="J2" s="93"/>
    </x:row>
    <x:row r="3" ht="15">
      <x:c r="A3" s="222"/>
      <x:c r="B3" s="222"/>
      <x:c r="C3" s="222"/>
      <x:c r="D3" s="222"/>
      <x:c r="E3" s="222"/>
      <x:c r="F3" s="93"/>
      <x:c r="G3" s="93"/>
      <x:c r="H3" s="93"/>
      <x:c r="I3" s="93"/>
      <x:c r="J3" s="93"/>
    </x:row>
    <x:row r="4" ht="15">
      <x:c r="A4" s="140" t="str">
        <x:v>EXECUTIVE TAKEAWAYS</x:v>
      </x:c>
      <x:c r="B4" s="140"/>
      <x:c r="C4" s="140"/>
      <x:c r="D4" s="140" t="str">
        <x:v>MODEL CONVENTIONS</x:v>
      </x:c>
      <x:c r="E4" s="140"/>
      <x:c r="F4" s="93"/>
      <x:c r="G4" s="93"/>
      <x:c r="H4" s="93"/>
      <x:c r="I4" s="93"/>
      <x:c r="J4" s="93"/>
    </x:row>
    <x:row r="5" ht="15">
      <x:c r="A5" s="232" t="str">
        <x:v>1</x:v>
      </x:c>
      <x:c r="B5" s="232" t="str">
        <x:v>Growth</x:v>
      </x:c>
      <x:c r="C5" s="232" t="str">
        <x:v>Demand is strongest during festive / year-end months, with meaningful month-to-month seasonality.</x:v>
      </x:c>
      <x:c r="D5" s="232" t="str">
        <x:v>Data type</x:v>
      </x:c>
      <x:c r="E5" s="232" t="str">
        <x:v>Fictional / illustrative</x:v>
      </x:c>
      <x:c r="F5" s="93"/>
      <x:c r="G5" s="93"/>
      <x:c r="H5" s="93"/>
      <x:c r="I5" s="93"/>
      <x:c r="J5" s="93"/>
    </x:row>
    <x:row r="6" ht="15">
      <x:c r="A6" s="232" t="str">
        <x:v>2</x:v>
      </x:c>
      <x:c r="B6" s="232" t="str">
        <x:v>Profitability</x:v>
      </x:c>
      <x:c r="C6" s="232" t="str">
        <x:v>Gold and corporate users support higher AOV and stronger unit economics than price-sensitive segments.</x:v>
      </x:c>
      <x:c r="D6" s="232" t="str">
        <x:v>Currency</x:v>
      </x:c>
      <x:c r="E6" s="232" t="str">
        <x:v>INR ₹</x:v>
      </x:c>
      <x:c r="F6" s="93"/>
      <x:c r="G6" s="93"/>
      <x:c r="H6" s="93"/>
      <x:c r="I6" s="93"/>
      <x:c r="J6" s="93"/>
    </x:row>
    <x:row r="7" ht="15">
      <x:c r="A7" s="232" t="str">
        <x:v>3</x:v>
      </x:c>
      <x:c r="B7" s="232" t="str">
        <x:v>Region</x:v>
      </x:c>
      <x:c r="C7" s="232" t="str">
        <x:v>West, Metro and South markets emerge as leading contributors in the modeled portfolio.</x:v>
      </x:c>
      <x:c r="D7" s="232" t="str">
        <x:v>Revenue</x:v>
      </x:c>
      <x:c r="E7" s="232" t="str">
        <x:v>Net revenue after discount</x:v>
      </x:c>
      <x:c r="F7" s="93"/>
      <x:c r="G7" s="93"/>
      <x:c r="H7" s="93"/>
      <x:c r="I7" s="93"/>
      <x:c r="J7" s="93"/>
    </x:row>
    <x:row r="8" ht="15">
      <x:c r="A8" s="232" t="str">
        <x:v>4</x:v>
      </x:c>
      <x:c r="B8" s="232" t="str">
        <x:v>Category</x:v>
      </x:c>
      <x:c r="C8" s="232" t="str">
        <x:v>Core food categories drive volume, while premium / healthy categories support margin mix.</x:v>
      </x:c>
      <x:c r="D8" s="232" t="str">
        <x:v>Profit</x:v>
      </x:c>
      <x:c r="E8" s="232" t="str">
        <x:v>Gross profit less operating expense</x:v>
      </x:c>
      <x:c r="F8" s="93"/>
      <x:c r="G8" s="93"/>
      <x:c r="H8" s="93"/>
      <x:c r="I8" s="93"/>
      <x:c r="J8" s="93"/>
    </x:row>
    <x:row r="9" ht="15">
      <x:c r="A9" s="232" t="str">
        <x:v>5</x:v>
      </x:c>
      <x:c r="B9" s="232" t="str">
        <x:v>Outlook</x:v>
      </x:c>
      <x:c r="C9" s="232" t="str">
        <x:v>Base case assumes moderate order growth, stable margins and seasonal uplift over the next six months.</x:v>
      </x:c>
      <x:c r="D9" s="232" t="str">
        <x:v>Forecast</x:v>
      </x:c>
      <x:c r="E9" s="232" t="str">
        <x:v>Trend + seasonal base case</x:v>
      </x:c>
      <x:c r="F9" s="93"/>
      <x:c r="G9" s="93"/>
      <x:c r="H9" s="93"/>
      <x:c r="I9" s="93"/>
      <x:c r="J9" s="93"/>
    </x:row>
    <x:row r="10" ht="15">
      <x:c r="A10" s="232" t="str">
        <x:v>6</x:v>
      </x:c>
      <x:c r="B10" s="232" t="str">
        <x:v>MBA lens</x:v>
      </x:c>
      <x:c r="C10" s="232" t="str">
        <x:v>Management focus: improve retention, reduce discount dependency and allocate growth spend to high-margin cohorts.</x:v>
      </x:c>
      <x:c r="D10" s="232" t="str">
        <x:v>Use case</x:v>
      </x:c>
      <x:c r="E10" s="232" t="str">
        <x:v>MBA / LinkedIn portfolio</x:v>
      </x:c>
      <x:c r="F10" s="93"/>
      <x:c r="G10" s="93"/>
      <x:c r="H10" s="93"/>
      <x:c r="I10" s="93"/>
      <x:c r="J10" s="93"/>
    </x:row>
    <x:row r="11" ht="15">
      <x:c r="A11" s="233" t="s">
        <x:v>2</x:v>
      </x:c>
      <x:c r="B11" s="233"/>
      <x:c r="C11" s="233"/>
      <x:c r="D11" s="233"/>
      <x:c r="E11" s="233"/>
      <x:c r="F11" s="93"/>
      <x:c r="G11" s="93"/>
      <x:c r="H11" s="93"/>
      <x:c r="I11" s="93"/>
      <x:c r="J11" s="93"/>
    </x:row>
    <x:row r="12" ht="15">
      <x:c r="A12" s="232" t="str">
        <x:v>WORKSHEET GUIDE</x:v>
      </x:c>
      <x:c r="B12" s="232"/>
      <x:c r="C12" s="232"/>
      <x:c r="D12" s="232"/>
      <x:c r="E12" s="232"/>
      <x:c r="F12" s="93"/>
      <x:c r="G12" s="93"/>
      <x:c r="H12" s="93"/>
      <x:c r="I12" s="93"/>
      <x:c r="J12" s="93"/>
    </x:row>
    <x:row r="13" ht="15">
      <x:c r="A13" s="232" t="str">
        <x:v>Raw Data</x:v>
      </x:c>
      <x:c r="B13" s="232" t="str">
        <x:v>Source-like order dataset</x:v>
      </x:c>
      <x:c r="C13" s="232"/>
      <x:c r="D13" s="232"/>
      <x:c r="E13" s="232"/>
      <x:c r="F13" s="93"/>
      <x:c r="G13" s="93"/>
      <x:c r="H13" s="93"/>
      <x:c r="I13" s="93"/>
      <x:c r="J13" s="93"/>
    </x:row>
    <x:row r="14" ht="15">
      <x:c r="A14" s="232" t="str">
        <x:v>Data Cleaning</x:v>
      </x:c>
      <x:c r="B14" s="232" t="str">
        <x:v>Quality checks and standardized field conventions</x:v>
      </x:c>
      <x:c r="C14" s="232"/>
      <x:c r="D14" s="232"/>
      <x:c r="E14" s="232"/>
      <x:c r="F14" s="93"/>
      <x:c r="G14" s="93"/>
      <x:c r="H14" s="93"/>
      <x:c r="I14" s="93"/>
      <x:c r="J14" s="93"/>
    </x:row>
    <x:row r="15" ht="15">
      <x:c r="A15" s="232" t="str">
        <x:v>Sales Transactions</x:v>
      </x:c>
      <x:c r="B15" s="232" t="str">
        <x:v>Analytical transaction layer with formulas</x:v>
      </x:c>
      <x:c r="C15" s="232"/>
      <x:c r="D15" s="232"/>
      <x:c r="E15" s="232"/>
      <x:c r="F15" s="93"/>
      <x:c r="G15" s="93"/>
      <x:c r="H15" s="93"/>
      <x:c r="I15" s="93"/>
      <x:c r="J15" s="93"/>
    </x:row>
    <x:row r="16" ht="15">
      <x:c r="A16" s="232" t="str">
        <x:v>KPI Dashboard</x:v>
      </x:c>
      <x:c r="B16" s="232" t="str">
        <x:v>Executive visual cockpit</x:v>
      </x:c>
      <x:c r="C16" s="232"/>
      <x:c r="D16" s="232"/>
      <x:c r="E16" s="232"/>
      <x:c r="F16" s="93"/>
      <x:c r="G16" s="93"/>
      <x:c r="H16" s="93"/>
      <x:c r="I16" s="93"/>
      <x:c r="J16" s="93"/>
    </x:row>
    <x:row r="17" ht="15">
      <x:c r="A17" s="232" t="str">
        <x:v>Monthly Sales Analysis</x:v>
      </x:c>
      <x:c r="B17" s="232" t="str">
        <x:v>Monthly / quarterly trend analysis</x:v>
      </x:c>
      <x:c r="C17" s="232"/>
      <x:c r="D17" s="232"/>
      <x:c r="E17" s="232"/>
      <x:c r="F17" s="93"/>
      <x:c r="G17" s="93"/>
      <x:c r="H17" s="93"/>
      <x:c r="I17" s="93"/>
      <x:c r="J17" s="93"/>
    </x:row>
    <x:row r="18" ht="15">
      <x:c r="A18" s="232" t="str">
        <x:v>Product Performance</x:v>
      </x:c>
      <x:c r="B18" s="232" t="str">
        <x:v>Cuisine economics and ranking</x:v>
      </x:c>
      <x:c r="C18" s="232"/>
      <x:c r="D18" s="232"/>
      <x:c r="E18" s="232"/>
      <x:c r="F18" s="93"/>
      <x:c r="G18" s="93"/>
      <x:c r="H18" s="93"/>
      <x:c r="I18" s="93"/>
      <x:c r="J18" s="93"/>
    </x:row>
    <x:row r="19" ht="15">
      <x:c r="A19" s="232" t="str">
        <x:v>Regional Performance</x:v>
      </x:c>
      <x:c r="B19" s="232" t="str">
        <x:v>Regional contribution and attainment</x:v>
      </x:c>
      <x:c r="C19" s="232"/>
      <x:c r="D19" s="232"/>
      <x:c r="E19" s="232"/>
      <x:c r="F19" s="93"/>
      <x:c r="G19" s="93"/>
      <x:c r="H19" s="93"/>
      <x:c r="I19" s="93"/>
      <x:c r="J19" s="93"/>
    </x:row>
    <x:row r="20" ht="15">
      <x:c r="A20" s="232" t="str">
        <x:v>Customer Segment Analysis</x:v>
      </x:c>
      <x:c r="B20" s="232" t="str">
        <x:v>Segment revenue, AOV and margin</x:v>
      </x:c>
      <x:c r="C20" s="232"/>
      <x:c r="D20" s="232"/>
      <x:c r="E20" s="232"/>
      <x:c r="F20" s="93"/>
      <x:c r="G20" s="93"/>
      <x:c r="H20" s="93"/>
      <x:c r="I20" s="93"/>
      <x:c r="J20" s="93"/>
    </x:row>
    <x:row r="21" ht="15">
      <x:c r="A21" s="232" t="str">
        <x:v>Important note</x:v>
      </x:c>
      <x:c r="B21" s="232" t="str">
        <x:v>All figures are synthetic / illustrative and are not Zomato-reported financials.</x:v>
      </x:c>
      <x:c r="C21" s="232"/>
      <x:c r="D21" s="232"/>
      <x:c r="E21" s="232"/>
      <x:c r="F21" s="93"/>
      <x:c r="G21" s="93"/>
      <x:c r="H21" s="93"/>
      <x:c r="I21" s="93"/>
      <x:c r="J21" s="93"/>
    </x:row>
    <x:row r="22" ht="15">
      <x:c r="A22" s="93"/>
      <x:c r="B22" s="93"/>
      <x:c r="C22" s="93"/>
      <x:c r="D22" s="93"/>
      <x:c r="E22" s="93"/>
      <x:c r="F22" s="93"/>
      <x:c r="G22" s="93"/>
      <x:c r="H22" s="93"/>
      <x:c r="I22" s="93"/>
      <x:c r="J22" s="93"/>
    </x:row>
    <x:row r="23" ht="15">
      <x:c r="A23" s="93"/>
      <x:c r="B23" s="93"/>
      <x:c r="C23" s="93"/>
      <x:c r="D23" s="93"/>
      <x:c r="E23" s="93"/>
      <x:c r="F23" s="93"/>
      <x:c r="G23" s="93"/>
      <x:c r="H23" s="93"/>
      <x:c r="I23" s="93"/>
      <x:c r="J23" s="93"/>
    </x:row>
    <x:row r="24" ht="15">
      <x:c r="A24" s="93"/>
      <x:c r="B24" s="93"/>
      <x:c r="C24" s="93"/>
      <x:c r="D24" s="93"/>
      <x:c r="E24" s="93"/>
      <x:c r="F24" s="93"/>
      <x:c r="G24" s="93"/>
      <x:c r="H24" s="93"/>
      <x:c r="I24" s="93"/>
      <x:c r="J24" s="93"/>
    </x:row>
    <x:row r="25" ht="15">
      <x:c r="A25" s="93"/>
      <x:c r="B25" s="93"/>
      <x:c r="C25" s="93"/>
      <x:c r="D25" s="93"/>
      <x:c r="E25" s="93"/>
      <x:c r="F25" s="93"/>
      <x:c r="G25" s="93"/>
      <x:c r="H25" s="93"/>
      <x:c r="I25" s="93"/>
      <x:c r="J25" s="93"/>
    </x:row>
    <x:row r="26" ht="15">
      <x:c r="A26" s="93"/>
      <x:c r="B26" s="93"/>
      <x:c r="C26" s="93"/>
      <x:c r="D26" s="93"/>
      <x:c r="E26" s="93"/>
      <x:c r="F26" s="93"/>
      <x:c r="G26" s="93"/>
      <x:c r="H26" s="93"/>
      <x:c r="I26" s="93"/>
      <x:c r="J26" s="93"/>
    </x:row>
    <x:row r="27" ht="15">
      <x:c r="A27" s="93"/>
      <x:c r="B27" s="93"/>
      <x:c r="C27" s="93"/>
      <x:c r="D27" s="93"/>
      <x:c r="E27" s="93"/>
      <x:c r="F27" s="93"/>
      <x:c r="G27" s="93"/>
      <x:c r="H27" s="93"/>
      <x:c r="I27" s="93"/>
      <x:c r="J27" s="93"/>
    </x:row>
    <x:row r="28" ht="15">
      <x:c r="A28" s="93"/>
      <x:c r="B28" s="93"/>
      <x:c r="C28" s="93"/>
      <x:c r="D28" s="93"/>
      <x:c r="E28" s="93"/>
      <x:c r="F28" s="93"/>
      <x:c r="G28" s="93"/>
      <x:c r="H28" s="93"/>
      <x:c r="I28" s="93"/>
      <x:c r="J28" s="93"/>
    </x:row>
    <x:row r="29" ht="15">
      <x:c r="A29" s="93"/>
      <x:c r="B29" s="93"/>
      <x:c r="C29" s="93"/>
      <x:c r="D29" s="93"/>
      <x:c r="E29" s="93"/>
      <x:c r="F29" s="93"/>
      <x:c r="G29" s="93"/>
      <x:c r="H29" s="93"/>
      <x:c r="I29" s="93"/>
      <x:c r="J29" s="93"/>
    </x:row>
    <x:row r="30" ht="15">
      <x:c r="A30" s="93"/>
      <x:c r="B30" s="93"/>
      <x:c r="C30" s="93"/>
      <x:c r="D30" s="93"/>
      <x:c r="E30" s="93"/>
      <x:c r="F30" s="93"/>
      <x:c r="G30" s="93"/>
      <x:c r="H30" s="93"/>
      <x:c r="I30" s="93"/>
      <x:c r="J30" s="93"/>
    </x:row>
    <x:row r="31" ht="15">
      <x:c r="A31" s="93"/>
      <x:c r="B31" s="93"/>
      <x:c r="C31" s="93"/>
      <x:c r="D31" s="93"/>
      <x:c r="E31" s="93"/>
      <x:c r="F31" s="93"/>
      <x:c r="G31" s="93"/>
      <x:c r="H31" s="93"/>
      <x:c r="I31" s="93"/>
      <x:c r="J31" s="93"/>
    </x:row>
    <x:row r="32" ht="15">
      <x:c r="A32" s="93"/>
      <x:c r="B32" s="93"/>
      <x:c r="C32" s="93"/>
      <x:c r="D32" s="93"/>
      <x:c r="E32" s="93"/>
      <x:c r="F32" s="93"/>
      <x:c r="G32" s="93"/>
      <x:c r="H32" s="93"/>
      <x:c r="I32" s="93"/>
      <x:c r="J32" s="93"/>
    </x:row>
    <x:row r="33" ht="15">
      <x:c r="A33" s="93"/>
      <x:c r="B33" s="93"/>
      <x:c r="C33" s="93"/>
      <x:c r="D33" s="93"/>
      <x:c r="E33" s="93"/>
      <x:c r="F33" s="93"/>
      <x:c r="G33" s="93"/>
      <x:c r="H33" s="93"/>
      <x:c r="I33" s="93"/>
      <x:c r="J33" s="93"/>
    </x:row>
    <x:row r="34" ht="15">
      <x:c r="A34" s="93"/>
      <x:c r="B34" s="93"/>
      <x:c r="C34" s="93"/>
      <x:c r="D34" s="93"/>
      <x:c r="E34" s="93"/>
      <x:c r="F34" s="93"/>
      <x:c r="G34" s="93"/>
      <x:c r="H34" s="93"/>
      <x:c r="I34" s="93"/>
      <x:c r="J34" s="93"/>
    </x:row>
    <x:row r="35" ht="15">
      <x:c r="A35" s="93"/>
      <x:c r="B35" s="93"/>
      <x:c r="C35" s="93"/>
      <x:c r="D35" s="93"/>
      <x:c r="E35" s="93"/>
      <x:c r="F35" s="93"/>
      <x:c r="G35" s="93"/>
      <x:c r="H35" s="93"/>
      <x:c r="I35" s="93"/>
      <x:c r="J35" s="93"/>
    </x:row>
    <x:row r="36" ht="15">
      <x:c r="A36" s="93"/>
      <x:c r="B36" s="93"/>
      <x:c r="C36" s="93"/>
      <x:c r="D36" s="93"/>
      <x:c r="E36" s="93"/>
      <x:c r="F36" s="93"/>
      <x:c r="G36" s="93"/>
      <x:c r="H36" s="93"/>
      <x:c r="I36" s="93"/>
      <x:c r="J36" s="93"/>
    </x:row>
    <x:row r="37" ht="15">
      <x:c r="A37" s="93"/>
      <x:c r="B37" s="93"/>
      <x:c r="C37" s="93"/>
      <x:c r="D37" s="93"/>
      <x:c r="E37" s="93"/>
      <x:c r="F37" s="93"/>
      <x:c r="G37" s="93"/>
      <x:c r="H37" s="93"/>
      <x:c r="I37" s="93"/>
      <x:c r="J37" s="93"/>
    </x:row>
    <x:row r="38" ht="15">
      <x:c r="A38" s="93"/>
      <x:c r="B38" s="93"/>
      <x:c r="C38" s="93"/>
      <x:c r="D38" s="93"/>
      <x:c r="E38" s="93"/>
      <x:c r="F38" s="93"/>
      <x:c r="G38" s="93"/>
      <x:c r="H38" s="93"/>
      <x:c r="I38" s="93"/>
      <x:c r="J38" s="93"/>
    </x:row>
    <x:row r="39" ht="15">
      <x:c r="A39" s="93"/>
      <x:c r="B39" s="93"/>
      <x:c r="C39" s="93"/>
      <x:c r="D39" s="93"/>
      <x:c r="E39" s="93"/>
      <x:c r="F39" s="93"/>
      <x:c r="G39" s="93"/>
      <x:c r="H39" s="93"/>
      <x:c r="I39" s="93"/>
      <x:c r="J39" s="93"/>
    </x:row>
    <x:row r="40" ht="15">
      <x:c r="A40" s="93"/>
      <x:c r="B40" s="93"/>
      <x:c r="C40" s="93"/>
      <x:c r="D40" s="93"/>
      <x:c r="E40" s="93"/>
      <x:c r="F40" s="93"/>
      <x:c r="G40" s="93"/>
      <x:c r="H40" s="93"/>
      <x:c r="I40" s="93"/>
      <x:c r="J40" s="93"/>
    </x:row>
    <x:row r="41" ht="15">
      <x:c r="A41" s="93"/>
      <x:c r="B41" s="93"/>
      <x:c r="C41" s="93"/>
      <x:c r="D41" s="93"/>
      <x:c r="E41" s="93"/>
      <x:c r="F41" s="93"/>
      <x:c r="G41" s="93"/>
      <x:c r="H41" s="93"/>
      <x:c r="I41" s="93"/>
      <x:c r="J41" s="93"/>
    </x:row>
    <x:row r="42" ht="15">
      <x:c r="A42" s="93"/>
      <x:c r="B42" s="93"/>
      <x:c r="C42" s="93"/>
      <x:c r="D42" s="93"/>
      <x:c r="E42" s="93"/>
      <x:c r="F42" s="93"/>
      <x:c r="G42" s="93"/>
      <x:c r="H42" s="93"/>
      <x:c r="I42" s="93"/>
      <x:c r="J42" s="93"/>
    </x:row>
    <x:row r="43" ht="15">
      <x:c r="A43" s="93"/>
      <x:c r="B43" s="93"/>
      <x:c r="C43" s="93"/>
      <x:c r="D43" s="93"/>
      <x:c r="E43" s="93"/>
      <x:c r="F43" s="93"/>
      <x:c r="G43" s="93"/>
      <x:c r="H43" s="93"/>
      <x:c r="I43" s="93"/>
      <x:c r="J43" s="93"/>
    </x:row>
    <x:row r="44" ht="15">
      <x:c r="A44" s="93"/>
      <x:c r="B44" s="93"/>
      <x:c r="C44" s="93"/>
      <x:c r="D44" s="93"/>
      <x:c r="E44" s="93"/>
      <x:c r="F44" s="93"/>
      <x:c r="G44" s="93"/>
      <x:c r="H44" s="93"/>
      <x:c r="I44" s="93"/>
      <x:c r="J44" s="93"/>
    </x:row>
    <x:row r="45" ht="15">
      <x:c r="A45" s="93"/>
      <x:c r="B45" s="93"/>
      <x:c r="C45" s="93"/>
      <x:c r="D45" s="93"/>
      <x:c r="E45" s="93"/>
      <x:c r="F45" s="93"/>
      <x:c r="G45" s="93"/>
      <x:c r="H45" s="93"/>
      <x:c r="I45" s="93"/>
      <x:c r="J45" s="93"/>
    </x:row>
    <x:row r="46" ht="15">
      <x:c r="A46" s="93"/>
      <x:c r="B46" s="93"/>
      <x:c r="C46" s="93"/>
      <x:c r="D46" s="93"/>
      <x:c r="E46" s="93"/>
      <x:c r="F46" s="93"/>
      <x:c r="G46" s="93"/>
      <x:c r="H46" s="93"/>
      <x:c r="I46" s="93"/>
      <x:c r="J46" s="93"/>
    </x:row>
    <x:row r="47" ht="15">
      <x:c r="A47" s="93"/>
      <x:c r="B47" s="93"/>
      <x:c r="C47" s="93"/>
      <x:c r="D47" s="93"/>
      <x:c r="E47" s="93"/>
      <x:c r="F47" s="93"/>
      <x:c r="G47" s="93"/>
      <x:c r="H47" s="93"/>
      <x:c r="I47" s="93"/>
      <x:c r="J47" s="93"/>
    </x:row>
    <x:row r="48" ht="15">
      <x:c r="A48" s="93"/>
      <x:c r="B48" s="93"/>
      <x:c r="C48" s="93"/>
      <x:c r="D48" s="93"/>
      <x:c r="E48" s="93"/>
      <x:c r="F48" s="93"/>
      <x:c r="G48" s="93"/>
      <x:c r="H48" s="93"/>
      <x:c r="I48" s="93"/>
      <x:c r="J48" s="93"/>
    </x:row>
    <x:row r="49" ht="15">
      <x:c r="A49" s="93"/>
      <x:c r="B49" s="93"/>
      <x:c r="C49" s="93"/>
      <x:c r="D49" s="93"/>
      <x:c r="E49" s="93"/>
      <x:c r="F49" s="93"/>
      <x:c r="G49" s="93"/>
      <x:c r="H49" s="93"/>
      <x:c r="I49" s="93"/>
      <x:c r="J49" s="93"/>
    </x:row>
    <x:row r="50" ht="15">
      <x:c r="A50" s="93"/>
      <x:c r="B50" s="93"/>
      <x:c r="C50" s="93"/>
      <x:c r="D50" s="93"/>
      <x:c r="E50" s="93"/>
      <x:c r="F50" s="93"/>
      <x:c r="G50" s="93"/>
      <x:c r="H50" s="93"/>
      <x:c r="I50" s="93"/>
      <x:c r="J50" s="93"/>
    </x:row>
    <x:row r="51" ht="15">
      <x:c r="A51" s="93"/>
      <x:c r="B51" s="93"/>
      <x:c r="C51" s="93"/>
      <x:c r="D51" s="93"/>
      <x:c r="E51" s="93"/>
      <x:c r="F51" s="93"/>
      <x:c r="G51" s="93"/>
      <x:c r="H51" s="93"/>
      <x:c r="I51" s="93"/>
      <x:c r="J51" s="93"/>
    </x:row>
    <x:row r="52" ht="15">
      <x:c r="A52" s="93"/>
      <x:c r="B52" s="93"/>
      <x:c r="C52" s="93"/>
      <x:c r="D52" s="93"/>
      <x:c r="E52" s="93"/>
      <x:c r="F52" s="93"/>
      <x:c r="G52" s="93"/>
      <x:c r="H52" s="93"/>
      <x:c r="I52" s="93"/>
      <x:c r="J52" s="93"/>
    </x:row>
    <x:row r="53" ht="15">
      <x:c r="A53" s="93"/>
      <x:c r="B53" s="93"/>
      <x:c r="C53" s="93"/>
      <x:c r="D53" s="93"/>
      <x:c r="E53" s="93"/>
      <x:c r="F53" s="93"/>
      <x:c r="G53" s="93"/>
      <x:c r="H53" s="93"/>
      <x:c r="I53" s="93"/>
      <x:c r="J53" s="93"/>
    </x:row>
    <x:row r="54" ht="15">
      <x:c r="A54" s="93"/>
      <x:c r="B54" s="93"/>
      <x:c r="C54" s="93"/>
      <x:c r="D54" s="93"/>
      <x:c r="E54" s="93"/>
      <x:c r="F54" s="93"/>
      <x:c r="G54" s="93"/>
      <x:c r="H54" s="93"/>
      <x:c r="I54" s="93"/>
      <x:c r="J54" s="93"/>
    </x:row>
    <x:row r="55" ht="15">
      <x:c r="A55" s="93"/>
      <x:c r="B55" s="93"/>
      <x:c r="C55" s="93"/>
      <x:c r="D55" s="93"/>
      <x:c r="E55" s="93"/>
      <x:c r="F55" s="93"/>
      <x:c r="G55" s="93"/>
      <x:c r="H55" s="93"/>
      <x:c r="I55" s="93"/>
      <x:c r="J55" s="93"/>
    </x:row>
    <x:row r="56" ht="15">
      <x:c r="A56" s="93"/>
      <x:c r="B56" s="93"/>
      <x:c r="C56" s="93"/>
      <x:c r="D56" s="93"/>
      <x:c r="E56" s="93"/>
      <x:c r="F56" s="93"/>
      <x:c r="G56" s="93"/>
      <x:c r="H56" s="93"/>
      <x:c r="I56" s="93"/>
      <x:c r="J56" s="93"/>
    </x:row>
    <x:row r="57" ht="15">
      <x:c r="A57" s="93"/>
      <x:c r="B57" s="93"/>
      <x:c r="C57" s="93"/>
      <x:c r="D57" s="93"/>
      <x:c r="E57" s="93"/>
      <x:c r="F57" s="93"/>
      <x:c r="G57" s="93"/>
      <x:c r="H57" s="93"/>
      <x:c r="I57" s="93"/>
      <x:c r="J57" s="93"/>
    </x:row>
    <x:row r="58" ht="15">
      <x:c r="A58" s="93"/>
      <x:c r="B58" s="93"/>
      <x:c r="C58" s="93"/>
      <x:c r="D58" s="93"/>
      <x:c r="E58" s="93"/>
      <x:c r="F58" s="93"/>
      <x:c r="G58" s="93"/>
      <x:c r="H58" s="93"/>
      <x:c r="I58" s="93"/>
      <x:c r="J58" s="93"/>
    </x:row>
    <x:row r="59" ht="15">
      <x:c r="A59" s="93"/>
      <x:c r="B59" s="93"/>
      <x:c r="C59" s="93"/>
      <x:c r="D59" s="93"/>
      <x:c r="E59" s="93"/>
      <x:c r="F59" s="93"/>
      <x:c r="G59" s="93"/>
      <x:c r="H59" s="93"/>
      <x:c r="I59" s="93"/>
      <x:c r="J59" s="93"/>
    </x:row>
    <x:row r="60" ht="15">
      <x:c r="A60" s="93"/>
      <x:c r="B60" s="93"/>
      <x:c r="C60" s="93"/>
      <x:c r="D60" s="93"/>
      <x:c r="E60" s="93"/>
      <x:c r="F60" s="93"/>
      <x:c r="G60" s="93"/>
      <x:c r="H60" s="93"/>
      <x:c r="I60" s="93"/>
      <x:c r="J60" s="93"/>
    </x:row>
  </x:sheetData>
  <x:mergeCells>
    <x:mergeCell ref="A1:E1"/>
    <x:mergeCell ref="A2:E2"/>
    <x:mergeCell ref="A4:E4"/>
    <x:mergeCell ref="A11:E1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4.2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10" width="14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</x:cols>
  <x:sheetData>
    <x:row r="1" ht="30" customHeight="1">
      <x:c r="A1" s="174" t="str">
        <x:v>Zomato India | Forecast (Next 6 Months)</x:v>
      </x:c>
      <x:c r="B1" s="237"/>
      <x:c r="C1" s="237"/>
      <x:c r="D1" s="237"/>
      <x:c r="E1" s="237"/>
      <x:c r="F1" s="237"/>
      <x:c r="G1" s="237"/>
      <x:c r="H1" s="238"/>
      <x:c r="I1" s="238"/>
      <x:c r="J1" s="238"/>
      <x:c r="K1" s="239"/>
      <x:c r="L1" s="239"/>
      <x:c r="M1" s="239"/>
      <x:c r="N1" s="239"/>
      <x:c r="O1" s="239"/>
      <x:c r="P1" s="239"/>
      <x:c r="Q1" s="239"/>
      <x:c r="R1" s="239"/>
      <x:c r="S1" s="239"/>
      <x:c r="T1" s="239"/>
      <x:c r="U1" s="239"/>
      <x:c r="V1" s="239"/>
      <x:c r="W1" s="239"/>
      <x:c r="X1" s="239"/>
      <x:c r="Y1" s="239"/>
      <x:c r="Z1" s="239"/>
    </x:row>
    <x:row r="2" ht="20.100000381469727" customHeight="1">
      <x:c r="A2" s="222" t="str">
        <x:v>Base-case revenue / profit outlook | Jan-26 to Jun-26</x:v>
      </x:c>
      <x:c r="B2" s="222"/>
      <x:c r="C2" s="222"/>
      <x:c r="D2" s="222"/>
      <x:c r="E2" s="222"/>
      <x:c r="F2" s="222"/>
      <x:c r="G2" s="222"/>
      <x:c r="H2" s="93"/>
      <x:c r="I2" s="93"/>
      <x:c r="J2" s="93"/>
    </x:row>
    <x:row r="3" ht="15">
      <x:c r="A3" s="222"/>
      <x:c r="B3" s="222"/>
      <x:c r="C3" s="222"/>
      <x:c r="D3" s="222"/>
      <x:c r="E3" s="222"/>
      <x:c r="F3" s="222"/>
      <x:c r="G3" s="222"/>
      <x:c r="H3" s="93"/>
      <x:c r="I3" s="93"/>
      <x:c r="J3" s="93"/>
    </x:row>
    <x:row r="4" ht="15">
      <x:c r="A4" s="201" t="str">
        <x:v>Month</x:v>
      </x:c>
      <x:c r="B4" s="201" t="str">
        <x:v>Forecast Revenue (₹ Cr)</x:v>
      </x:c>
      <x:c r="C4" s="201" t="str">
        <x:v>Forecast Gross Profit (₹ Cr)</x:v>
      </x:c>
      <x:c r="D4" s="201" t="str">
        <x:v>Forecast Net Profit (₹ Cr)</x:v>
      </x:c>
      <x:c r="E4" s="201" t="str">
        <x:v>Growth %</x:v>
      </x:c>
      <x:c r="F4" s="201" t="str">
        <x:v>Forecast Margin %</x:v>
      </x:c>
      <x:c r="G4" s="201" t="str">
        <x:v>Scenario</x:v>
      </x:c>
      <x:c r="H4" s="201"/>
      <x:c r="I4" s="201"/>
      <x:c r="J4" s="201"/>
      <x:c r="K4" s="204"/>
      <x:c r="L4" s="204"/>
      <x:c r="M4" s="204"/>
      <x:c r="N4" s="204"/>
      <x:c r="O4" s="204"/>
      <x:c r="P4" s="204"/>
      <x:c r="Q4" s="204"/>
      <x:c r="R4" s="204"/>
      <x:c r="S4" s="204"/>
      <x:c r="T4" s="204"/>
      <x:c r="U4" s="204"/>
      <x:c r="V4" s="204"/>
      <x:c r="W4" s="204"/>
      <x:c r="X4" s="204"/>
      <x:c r="Y4" s="204"/>
      <x:c r="Z4" s="204"/>
    </x:row>
    <x:row r="5" ht="15">
      <x:c r="A5" s="188" t="n">
        <x:v>46023</x:v>
      </x:c>
      <x:c r="B5" s="224" t="n">
        <x:f>'Monthly Sales Analysis'!B5*(1+0.035)</x:f>
        <x:v>0.134458525665</x:v>
      </x:c>
      <x:c r="C5" s="224" t="n">
        <x:f>B5*0.28</x:f>
        <x:v>0.037648387186200005</x:v>
      </x:c>
      <x:c r="D5" s="224" t="n">
        <x:f>B5*0.16</x:f>
        <x:v>0.0215133641064</x:v>
      </x:c>
      <x:c r="E5" s="191" t="n">
        <x:v>0.035</x:v>
      </x:c>
      <x:c r="F5" s="191" t="n">
        <x:f t="shared" ref="F5:F10" si="0">IFERROR(D5/B5,0)</x:f>
        <x:v>0.16</x:v>
      </x:c>
      <x:c r="G5" s="191" t="str">
        <x:v>Base Case</x:v>
      </x:c>
      <x:c r="H5" s="93"/>
      <x:c r="I5" s="93"/>
      <x:c r="J5" s="93"/>
    </x:row>
    <x:row r="6" ht="15">
      <x:c r="A6" s="188" t="n">
        <x:v>46054</x:v>
      </x:c>
      <x:c r="B6" s="224" t="n">
        <x:f>'Monthly Sales Analysis'!B6*(1+0.038)</x:f>
        <x:v>0.10930925039400001</x:v>
      </x:c>
      <x:c r="C6" s="224" t="n">
        <x:f>B6*0.28</x:f>
        <x:v>0.030606590110320006</x:v>
      </x:c>
      <x:c r="D6" s="224" t="n">
        <x:f>B6*0.16</x:f>
        <x:v>0.017489480063040002</x:v>
      </x:c>
      <x:c r="E6" s="191" t="n">
        <x:v>0.038</x:v>
      </x:c>
      <x:c r="F6" s="191" t="n">
        <x:f t="shared" si="0">IFERROR(D6/B6,0)</x:f>
        <x:v>0.16</x:v>
      </x:c>
      <x:c r="G6" s="191" t="str">
        <x:v>Base Case</x:v>
      </x:c>
      <x:c r="H6" s="93"/>
      <x:c r="I6" s="93"/>
      <x:c r="J6" s="93"/>
    </x:row>
    <x:row r="7" ht="15">
      <x:c r="A7" s="188" t="n">
        <x:v>46082</x:v>
      </x:c>
      <x:c r="B7" s="224" t="n">
        <x:f>'Monthly Sales Analysis'!B7*(1+0.041)</x:f>
        <x:v>0.164740288278</x:v>
      </x:c>
      <x:c r="C7" s="224" t="n">
        <x:f>B7*0.28</x:f>
        <x:v>0.04612728071784</x:v>
      </x:c>
      <x:c r="D7" s="224" t="n">
        <x:f>B7*0.16</x:f>
        <x:v>0.02635844612448</x:v>
      </x:c>
      <x:c r="E7" s="191" t="n">
        <x:v>0.041</x:v>
      </x:c>
      <x:c r="F7" s="191" t="n">
        <x:f t="shared" si="0">IFERROR(D7/B7,0)</x:f>
        <x:v>0.16</x:v>
      </x:c>
      <x:c r="G7" s="191" t="str">
        <x:v>Base Case</x:v>
      </x:c>
      <x:c r="H7" s="93"/>
      <x:c r="I7" s="93"/>
      <x:c r="J7" s="93"/>
    </x:row>
    <x:row r="8" ht="15">
      <x:c r="A8" s="188" t="n">
        <x:v>46113</x:v>
      </x:c>
      <x:c r="B8" s="224" t="n">
        <x:f>'Monthly Sales Analysis'!B8*(1+0.044)</x:f>
        <x:v>0.128269600488</x:v>
      </x:c>
      <x:c r="C8" s="224" t="n">
        <x:f>B8*0.28</x:f>
        <x:v>0.03591548813664001</x:v>
      </x:c>
      <x:c r="D8" s="224" t="n">
        <x:f>B8*0.16</x:f>
        <x:v>0.02052313607808</x:v>
      </x:c>
      <x:c r="E8" s="191" t="n">
        <x:v>0.044</x:v>
      </x:c>
      <x:c r="F8" s="191" t="n">
        <x:f t="shared" si="0">IFERROR(D8/B8,0)</x:f>
        <x:v>0.16</x:v>
      </x:c>
      <x:c r="G8" s="191" t="str">
        <x:v>Base Case</x:v>
      </x:c>
      <x:c r="H8" s="93"/>
      <x:c r="I8" s="93"/>
      <x:c r="J8" s="93"/>
    </x:row>
    <x:row r="9" ht="15">
      <x:c r="A9" s="188" t="n">
        <x:v>46143</x:v>
      </x:c>
      <x:c r="B9" s="224" t="n">
        <x:f>'Monthly Sales Analysis'!B9*(1+0.047)</x:f>
        <x:v>0.14014306598700002</x:v>
      </x:c>
      <x:c r="C9" s="224" t="n">
        <x:f>B9*0.28</x:f>
        <x:v>0.03924005847636001</x:v>
      </x:c>
      <x:c r="D9" s="224" t="n">
        <x:f>B9*0.16</x:f>
        <x:v>0.022422890557920003</x:v>
      </x:c>
      <x:c r="E9" s="191" t="n">
        <x:v>0.047</x:v>
      </x:c>
      <x:c r="F9" s="191" t="n">
        <x:f t="shared" si="0">IFERROR(D9/B9,0)</x:f>
        <x:v>0.16</x:v>
      </x:c>
      <x:c r="G9" s="191" t="str">
        <x:v>Base Case</x:v>
      </x:c>
      <x:c r="H9" s="93"/>
      <x:c r="I9" s="93"/>
      <x:c r="J9" s="93"/>
    </x:row>
    <x:row r="10" ht="15">
      <x:c r="A10" s="188" t="n">
        <x:v>46174</x:v>
      </x:c>
      <x:c r="B10" s="224" t="n">
        <x:f>'Monthly Sales Analysis'!B10*(1+0.05)</x:f>
        <x:v>0.14242190025000004</x:v>
      </x:c>
      <x:c r="C10" s="224" t="n">
        <x:f>B10*0.28</x:f>
        <x:v>0.039878132070000016</x:v>
      </x:c>
      <x:c r="D10" s="224" t="n">
        <x:f>B10*0.16</x:f>
        <x:v>0.022787504040000007</x:v>
      </x:c>
      <x:c r="E10" s="191" t="n">
        <x:v>0.05</x:v>
      </x:c>
      <x:c r="F10" s="191" t="n">
        <x:f t="shared" si="0">IFERROR(D10/B10,0)</x:f>
        <x:v>0.16</x:v>
      </x:c>
      <x:c r="G10" s="191" t="str">
        <x:v>Base Case</x:v>
      </x:c>
      <x:c r="H10" s="93"/>
      <x:c r="I10" s="93"/>
      <x:c r="J10" s="93"/>
    </x:row>
    <x:row r="11" ht="15">
      <x:c r="A11" s="93"/>
      <x:c r="B11" s="93"/>
      <x:c r="C11" s="93"/>
      <x:c r="D11" s="93"/>
      <x:c r="E11" s="93"/>
      <x:c r="F11" s="93"/>
      <x:c r="G11" s="93"/>
      <x:c r="H11" s="93"/>
      <x:c r="I11" s="93"/>
      <x:c r="J11" s="93"/>
    </x:row>
    <x:row r="12" ht="15">
      <x:c r="A12" s="93"/>
      <x:c r="B12" s="93"/>
      <x:c r="C12" s="93"/>
      <x:c r="D12" s="93"/>
      <x:c r="E12" s="93"/>
      <x:c r="F12" s="93"/>
      <x:c r="G12" s="93"/>
      <x:c r="H12" s="93"/>
      <x:c r="I12" s="93"/>
      <x:c r="J12" s="93"/>
    </x:row>
    <x:row r="13" ht="15">
      <x:c r="A13" s="93"/>
      <x:c r="B13" s="93"/>
      <x:c r="C13" s="93"/>
      <x:c r="D13" s="93"/>
      <x:c r="E13" s="93"/>
      <x:c r="F13" s="93"/>
      <x:c r="G13" s="93"/>
      <x:c r="H13" s="93"/>
      <x:c r="I13" s="93"/>
      <x:c r="J13" s="93"/>
    </x:row>
    <x:row r="14" ht="15">
      <x:c r="A14" s="93"/>
      <x:c r="B14" s="93"/>
      <x:c r="C14" s="93"/>
      <x:c r="D14" s="93"/>
      <x:c r="E14" s="93"/>
      <x:c r="F14" s="93"/>
      <x:c r="G14" s="93"/>
      <x:c r="H14" s="93"/>
      <x:c r="I14" s="93"/>
      <x:c r="J14" s="93"/>
    </x:row>
    <x:row r="15" ht="15">
      <x:c r="A15" s="93"/>
      <x:c r="B15" s="93"/>
      <x:c r="C15" s="93"/>
      <x:c r="D15" s="93"/>
      <x:c r="E15" s="93"/>
      <x:c r="F15" s="93"/>
      <x:c r="G15" s="93"/>
      <x:c r="H15" s="93"/>
      <x:c r="I15" s="93"/>
      <x:c r="J15" s="93"/>
    </x:row>
    <x:row r="16" ht="15">
      <x:c r="A16" s="93"/>
      <x:c r="B16" s="93"/>
      <x:c r="C16" s="93"/>
      <x:c r="D16" s="93"/>
      <x:c r="E16" s="93"/>
      <x:c r="F16" s="93"/>
      <x:c r="G16" s="93"/>
      <x:c r="H16" s="93"/>
      <x:c r="I16" s="93"/>
      <x:c r="J16" s="93"/>
    </x:row>
    <x:row r="17" ht="15">
      <x:c r="A17" s="93"/>
      <x:c r="B17" s="93"/>
      <x:c r="C17" s="93"/>
      <x:c r="D17" s="93"/>
      <x:c r="E17" s="93"/>
      <x:c r="F17" s="93"/>
      <x:c r="G17" s="93"/>
      <x:c r="H17" s="93"/>
      <x:c r="I17" s="93"/>
      <x:c r="J17" s="93"/>
    </x:row>
    <x:row r="18" ht="15">
      <x:c r="A18" s="93"/>
      <x:c r="B18" s="93"/>
      <x:c r="C18" s="93"/>
      <x:c r="D18" s="93"/>
      <x:c r="E18" s="93"/>
      <x:c r="F18" s="93"/>
      <x:c r="G18" s="93"/>
      <x:c r="H18" s="93"/>
      <x:c r="I18" s="93"/>
      <x:c r="J18" s="93"/>
    </x:row>
    <x:row r="19" ht="15">
      <x:c r="A19" s="93"/>
      <x:c r="B19" s="93"/>
      <x:c r="C19" s="93"/>
      <x:c r="D19" s="93"/>
      <x:c r="E19" s="93"/>
      <x:c r="F19" s="93"/>
      <x:c r="G19" s="93"/>
      <x:c r="H19" s="93"/>
      <x:c r="I19" s="93"/>
      <x:c r="J19" s="93"/>
    </x:row>
    <x:row r="20" ht="15">
      <x:c r="A20" s="93"/>
      <x:c r="B20" s="93"/>
      <x:c r="C20" s="93"/>
      <x:c r="D20" s="93"/>
      <x:c r="E20" s="93"/>
      <x:c r="F20" s="93"/>
      <x:c r="G20" s="93"/>
      <x:c r="H20" s="93"/>
      <x:c r="I20" s="93"/>
      <x:c r="J20" s="93"/>
    </x:row>
    <x:row r="21" ht="15">
      <x:c r="A21" s="93"/>
      <x:c r="B21" s="93"/>
      <x:c r="C21" s="93"/>
      <x:c r="D21" s="93"/>
      <x:c r="E21" s="93"/>
      <x:c r="F21" s="93"/>
      <x:c r="G21" s="93"/>
      <x:c r="H21" s="93"/>
      <x:c r="I21" s="93"/>
      <x:c r="J21" s="93"/>
    </x:row>
    <x:row r="22" ht="15">
      <x:c r="A22" s="93"/>
      <x:c r="B22" s="93"/>
      <x:c r="C22" s="93"/>
      <x:c r="D22" s="93"/>
      <x:c r="E22" s="93"/>
      <x:c r="F22" s="93"/>
      <x:c r="G22" s="93"/>
      <x:c r="H22" s="93"/>
      <x:c r="I22" s="93"/>
      <x:c r="J22" s="93"/>
    </x:row>
    <x:row r="23" ht="15">
      <x:c r="A23" s="93"/>
      <x:c r="B23" s="93"/>
      <x:c r="C23" s="93"/>
      <x:c r="D23" s="93"/>
      <x:c r="E23" s="93"/>
      <x:c r="F23" s="93"/>
      <x:c r="G23" s="93"/>
      <x:c r="H23" s="93"/>
      <x:c r="I23" s="93"/>
      <x:c r="J23" s="93"/>
    </x:row>
    <x:row r="24" ht="15">
      <x:c r="A24" s="93"/>
      <x:c r="B24" s="93"/>
      <x:c r="C24" s="93"/>
      <x:c r="D24" s="93"/>
      <x:c r="E24" s="93"/>
      <x:c r="F24" s="93"/>
      <x:c r="G24" s="93"/>
      <x:c r="H24" s="93"/>
      <x:c r="I24" s="93"/>
      <x:c r="J24" s="93"/>
    </x:row>
    <x:row r="25" ht="15">
      <x:c r="A25" s="93"/>
      <x:c r="B25" s="93"/>
      <x:c r="C25" s="93"/>
      <x:c r="D25" s="93"/>
      <x:c r="E25" s="93"/>
      <x:c r="F25" s="93"/>
      <x:c r="G25" s="93"/>
      <x:c r="H25" s="93"/>
      <x:c r="I25" s="93"/>
      <x:c r="J25" s="93"/>
    </x:row>
    <x:row r="26" ht="15">
      <x:c r="A26" s="93"/>
      <x:c r="B26" s="93"/>
      <x:c r="C26" s="93"/>
      <x:c r="D26" s="93"/>
      <x:c r="E26" s="93"/>
      <x:c r="F26" s="93"/>
      <x:c r="G26" s="93"/>
      <x:c r="H26" s="93"/>
      <x:c r="I26" s="93"/>
      <x:c r="J26" s="93"/>
    </x:row>
    <x:row r="27" ht="15">
      <x:c r="A27" s="93"/>
      <x:c r="B27" s="93"/>
      <x:c r="C27" s="93"/>
      <x:c r="D27" s="93"/>
      <x:c r="E27" s="93"/>
      <x:c r="F27" s="93"/>
      <x:c r="G27" s="93"/>
      <x:c r="H27" s="93"/>
      <x:c r="I27" s="93"/>
      <x:c r="J27" s="93"/>
    </x:row>
    <x:row r="28" ht="15">
      <x:c r="A28" s="93"/>
      <x:c r="B28" s="93"/>
      <x:c r="C28" s="93"/>
      <x:c r="D28" s="93"/>
      <x:c r="E28" s="93"/>
      <x:c r="F28" s="93"/>
      <x:c r="G28" s="93"/>
      <x:c r="H28" s="93"/>
      <x:c r="I28" s="93"/>
      <x:c r="J28" s="93"/>
    </x:row>
    <x:row r="29" ht="15">
      <x:c r="A29" s="93"/>
      <x:c r="B29" s="93"/>
      <x:c r="C29" s="93"/>
      <x:c r="D29" s="93"/>
      <x:c r="E29" s="93"/>
      <x:c r="F29" s="93"/>
      <x:c r="G29" s="93"/>
      <x:c r="H29" s="93"/>
      <x:c r="I29" s="93"/>
      <x:c r="J29" s="93"/>
    </x:row>
    <x:row r="30" ht="15">
      <x:c r="A30" s="93"/>
      <x:c r="B30" s="93"/>
      <x:c r="C30" s="93"/>
      <x:c r="D30" s="93"/>
      <x:c r="E30" s="93"/>
      <x:c r="F30" s="93"/>
      <x:c r="G30" s="93"/>
      <x:c r="H30" s="93"/>
      <x:c r="I30" s="93"/>
      <x:c r="J30" s="93"/>
    </x:row>
    <x:row r="31" ht="15">
      <x:c r="A31" s="93"/>
      <x:c r="B31" s="93"/>
      <x:c r="C31" s="93"/>
      <x:c r="D31" s="93"/>
      <x:c r="E31" s="93"/>
      <x:c r="F31" s="93"/>
      <x:c r="G31" s="93"/>
      <x:c r="H31" s="93"/>
      <x:c r="I31" s="93"/>
      <x:c r="J31" s="93"/>
    </x:row>
    <x:row r="32" ht="15">
      <x:c r="A32" s="93"/>
      <x:c r="B32" s="93"/>
      <x:c r="C32" s="93"/>
      <x:c r="D32" s="93"/>
      <x:c r="E32" s="93"/>
      <x:c r="F32" s="93"/>
      <x:c r="G32" s="93"/>
      <x:c r="H32" s="93"/>
      <x:c r="I32" s="93"/>
      <x:c r="J32" s="93"/>
    </x:row>
    <x:row r="33" ht="15">
      <x:c r="A33" s="93"/>
      <x:c r="B33" s="93"/>
      <x:c r="C33" s="93"/>
      <x:c r="D33" s="93"/>
      <x:c r="E33" s="93"/>
      <x:c r="F33" s="93"/>
      <x:c r="G33" s="93"/>
      <x:c r="H33" s="93"/>
      <x:c r="I33" s="93"/>
      <x:c r="J33" s="93"/>
    </x:row>
    <x:row r="34" ht="15">
      <x:c r="A34" s="93"/>
      <x:c r="B34" s="93"/>
      <x:c r="C34" s="93"/>
      <x:c r="D34" s="93"/>
      <x:c r="E34" s="93"/>
      <x:c r="F34" s="93"/>
      <x:c r="G34" s="93"/>
      <x:c r="H34" s="93"/>
      <x:c r="I34" s="93"/>
      <x:c r="J34" s="93"/>
    </x:row>
    <x:row r="35" ht="15">
      <x:c r="A35" s="93"/>
      <x:c r="B35" s="93"/>
      <x:c r="C35" s="93"/>
      <x:c r="D35" s="93"/>
      <x:c r="E35" s="93"/>
      <x:c r="F35" s="93"/>
      <x:c r="G35" s="93"/>
      <x:c r="H35" s="93"/>
      <x:c r="I35" s="93"/>
      <x:c r="J35" s="93"/>
    </x:row>
    <x:row r="36" ht="15">
      <x:c r="A36" s="93"/>
      <x:c r="B36" s="93"/>
      <x:c r="C36" s="93"/>
      <x:c r="D36" s="93"/>
      <x:c r="E36" s="93"/>
      <x:c r="F36" s="93"/>
      <x:c r="G36" s="93"/>
      <x:c r="H36" s="93"/>
      <x:c r="I36" s="93"/>
      <x:c r="J36" s="93"/>
    </x:row>
    <x:row r="37" ht="15">
      <x:c r="A37" s="93"/>
      <x:c r="B37" s="93"/>
      <x:c r="C37" s="93"/>
      <x:c r="D37" s="93"/>
      <x:c r="E37" s="93"/>
      <x:c r="F37" s="93"/>
      <x:c r="G37" s="93"/>
      <x:c r="H37" s="93"/>
      <x:c r="I37" s="93"/>
      <x:c r="J37" s="93"/>
    </x:row>
    <x:row r="38" ht="15">
      <x:c r="A38" s="93"/>
      <x:c r="B38" s="93"/>
      <x:c r="C38" s="93"/>
      <x:c r="D38" s="93"/>
      <x:c r="E38" s="93"/>
      <x:c r="F38" s="93"/>
      <x:c r="G38" s="93"/>
      <x:c r="H38" s="93"/>
      <x:c r="I38" s="93"/>
      <x:c r="J38" s="93"/>
    </x:row>
    <x:row r="39" ht="15">
      <x:c r="A39" s="93"/>
      <x:c r="B39" s="93"/>
      <x:c r="C39" s="93"/>
      <x:c r="D39" s="93"/>
      <x:c r="E39" s="93"/>
      <x:c r="F39" s="93"/>
      <x:c r="G39" s="93"/>
      <x:c r="H39" s="93"/>
      <x:c r="I39" s="93"/>
      <x:c r="J39" s="93"/>
    </x:row>
    <x:row r="40" ht="15">
      <x:c r="A40" s="93"/>
      <x:c r="B40" s="93"/>
      <x:c r="C40" s="93"/>
      <x:c r="D40" s="93"/>
      <x:c r="E40" s="93"/>
      <x:c r="F40" s="93"/>
      <x:c r="G40" s="93"/>
      <x:c r="H40" s="93"/>
      <x:c r="I40" s="93"/>
      <x:c r="J40" s="93"/>
    </x:row>
    <x:row r="41" ht="15">
      <x:c r="A41" s="93"/>
      <x:c r="B41" s="93"/>
      <x:c r="C41" s="93"/>
      <x:c r="D41" s="93"/>
      <x:c r="E41" s="93"/>
      <x:c r="F41" s="93"/>
      <x:c r="G41" s="93"/>
      <x:c r="H41" s="93"/>
      <x:c r="I41" s="93"/>
      <x:c r="J41" s="93"/>
    </x:row>
    <x:row r="42" ht="15">
      <x:c r="A42" s="93"/>
      <x:c r="B42" s="93"/>
      <x:c r="C42" s="93"/>
      <x:c r="D42" s="93"/>
      <x:c r="E42" s="93"/>
      <x:c r="F42" s="93"/>
      <x:c r="G42" s="93"/>
      <x:c r="H42" s="93"/>
      <x:c r="I42" s="93"/>
      <x:c r="J42" s="93"/>
    </x:row>
    <x:row r="43" ht="15">
      <x:c r="A43" s="93"/>
      <x:c r="B43" s="93"/>
      <x:c r="C43" s="93"/>
      <x:c r="D43" s="93"/>
      <x:c r="E43" s="93"/>
      <x:c r="F43" s="93"/>
      <x:c r="G43" s="93"/>
      <x:c r="H43" s="93"/>
      <x:c r="I43" s="93"/>
      <x:c r="J43" s="93"/>
    </x:row>
    <x:row r="44" ht="15">
      <x:c r="A44" s="93"/>
      <x:c r="B44" s="93"/>
      <x:c r="C44" s="93"/>
      <x:c r="D44" s="93"/>
      <x:c r="E44" s="93"/>
      <x:c r="F44" s="93"/>
      <x:c r="G44" s="93"/>
      <x:c r="H44" s="93"/>
      <x:c r="I44" s="93"/>
      <x:c r="J44" s="93"/>
    </x:row>
    <x:row r="45" ht="15">
      <x:c r="A45" s="93"/>
      <x:c r="B45" s="93"/>
      <x:c r="C45" s="93"/>
      <x:c r="D45" s="93"/>
      <x:c r="E45" s="93"/>
      <x:c r="F45" s="93"/>
      <x:c r="G45" s="93"/>
      <x:c r="H45" s="93"/>
      <x:c r="I45" s="93"/>
      <x:c r="J45" s="93"/>
    </x:row>
    <x:row r="46" ht="15">
      <x:c r="A46" s="93"/>
      <x:c r="B46" s="93"/>
      <x:c r="C46" s="93"/>
      <x:c r="D46" s="93"/>
      <x:c r="E46" s="93"/>
      <x:c r="F46" s="93"/>
      <x:c r="G46" s="93"/>
      <x:c r="H46" s="93"/>
      <x:c r="I46" s="93"/>
      <x:c r="J46" s="93"/>
    </x:row>
    <x:row r="47" ht="15">
      <x:c r="A47" s="93"/>
      <x:c r="B47" s="93"/>
      <x:c r="C47" s="93"/>
      <x:c r="D47" s="93"/>
      <x:c r="E47" s="93"/>
      <x:c r="F47" s="93"/>
      <x:c r="G47" s="93"/>
      <x:c r="H47" s="93"/>
      <x:c r="I47" s="93"/>
      <x:c r="J47" s="93"/>
    </x:row>
    <x:row r="48" ht="15">
      <x:c r="A48" s="93"/>
      <x:c r="B48" s="93"/>
      <x:c r="C48" s="93"/>
      <x:c r="D48" s="93"/>
      <x:c r="E48" s="93"/>
      <x:c r="F48" s="93"/>
      <x:c r="G48" s="93"/>
      <x:c r="H48" s="93"/>
      <x:c r="I48" s="93"/>
      <x:c r="J48" s="93"/>
    </x:row>
    <x:row r="49" ht="15">
      <x:c r="A49" s="93"/>
      <x:c r="B49" s="93"/>
      <x:c r="C49" s="93"/>
      <x:c r="D49" s="93"/>
      <x:c r="E49" s="93"/>
      <x:c r="F49" s="93"/>
      <x:c r="G49" s="93"/>
      <x:c r="H49" s="93"/>
      <x:c r="I49" s="93"/>
      <x:c r="J49" s="93"/>
    </x:row>
    <x:row r="50" ht="15">
      <x:c r="A50" s="93"/>
      <x:c r="B50" s="93"/>
      <x:c r="C50" s="93"/>
      <x:c r="D50" s="93"/>
      <x:c r="E50" s="93"/>
      <x:c r="F50" s="93"/>
      <x:c r="G50" s="93"/>
      <x:c r="H50" s="93"/>
      <x:c r="I50" s="93"/>
      <x:c r="J50" s="93"/>
    </x:row>
    <x:row r="51" ht="15">
      <x:c r="A51" s="93"/>
      <x:c r="B51" s="93"/>
      <x:c r="C51" s="93"/>
      <x:c r="D51" s="93"/>
      <x:c r="E51" s="93"/>
      <x:c r="F51" s="93"/>
      <x:c r="G51" s="93"/>
      <x:c r="H51" s="93"/>
      <x:c r="I51" s="93"/>
      <x:c r="J51" s="93"/>
    </x:row>
    <x:row r="52" ht="15">
      <x:c r="A52" s="93"/>
      <x:c r="B52" s="93"/>
      <x:c r="C52" s="93"/>
      <x:c r="D52" s="93"/>
      <x:c r="E52" s="93"/>
      <x:c r="F52" s="93"/>
      <x:c r="G52" s="93"/>
      <x:c r="H52" s="93"/>
      <x:c r="I52" s="93"/>
      <x:c r="J52" s="93"/>
    </x:row>
    <x:row r="53" ht="15">
      <x:c r="A53" s="93"/>
      <x:c r="B53" s="93"/>
      <x:c r="C53" s="93"/>
      <x:c r="D53" s="93"/>
      <x:c r="E53" s="93"/>
      <x:c r="F53" s="93"/>
      <x:c r="G53" s="93"/>
      <x:c r="H53" s="93"/>
      <x:c r="I53" s="93"/>
      <x:c r="J53" s="93"/>
    </x:row>
    <x:row r="54" ht="15">
      <x:c r="A54" s="93"/>
      <x:c r="B54" s="93"/>
      <x:c r="C54" s="93"/>
      <x:c r="D54" s="93"/>
      <x:c r="E54" s="93"/>
      <x:c r="F54" s="93"/>
      <x:c r="G54" s="93"/>
      <x:c r="H54" s="93"/>
      <x:c r="I54" s="93"/>
      <x:c r="J54" s="93"/>
    </x:row>
    <x:row r="55" ht="15">
      <x:c r="A55" s="93"/>
      <x:c r="B55" s="93"/>
      <x:c r="C55" s="93"/>
      <x:c r="D55" s="93"/>
      <x:c r="E55" s="93"/>
      <x:c r="F55" s="93"/>
      <x:c r="G55" s="93"/>
      <x:c r="H55" s="93"/>
      <x:c r="I55" s="93"/>
      <x:c r="J55" s="93"/>
    </x:row>
    <x:row r="56" ht="15">
      <x:c r="A56" s="93"/>
      <x:c r="B56" s="93"/>
      <x:c r="C56" s="93"/>
      <x:c r="D56" s="93"/>
      <x:c r="E56" s="93"/>
      <x:c r="F56" s="93"/>
      <x:c r="G56" s="93"/>
      <x:c r="H56" s="93"/>
      <x:c r="I56" s="93"/>
      <x:c r="J56" s="93"/>
    </x:row>
    <x:row r="57" ht="15">
      <x:c r="A57" s="93"/>
      <x:c r="B57" s="93"/>
      <x:c r="C57" s="93"/>
      <x:c r="D57" s="93"/>
      <x:c r="E57" s="93"/>
      <x:c r="F57" s="93"/>
      <x:c r="G57" s="93"/>
      <x:c r="H57" s="93"/>
      <x:c r="I57" s="93"/>
      <x:c r="J57" s="93"/>
    </x:row>
    <x:row r="58" ht="15">
      <x:c r="A58" s="93"/>
      <x:c r="B58" s="93"/>
      <x:c r="C58" s="93"/>
      <x:c r="D58" s="93"/>
      <x:c r="E58" s="93"/>
      <x:c r="F58" s="93"/>
      <x:c r="G58" s="93"/>
      <x:c r="H58" s="93"/>
      <x:c r="I58" s="93"/>
      <x:c r="J58" s="93"/>
    </x:row>
    <x:row r="59" ht="15">
      <x:c r="A59" s="93"/>
      <x:c r="B59" s="93"/>
      <x:c r="C59" s="93"/>
      <x:c r="D59" s="93"/>
      <x:c r="E59" s="93"/>
      <x:c r="F59" s="93"/>
      <x:c r="G59" s="93"/>
      <x:c r="H59" s="93"/>
      <x:c r="I59" s="93"/>
      <x:c r="J59" s="93"/>
    </x:row>
    <x:row r="60" ht="15">
      <x:c r="A60" s="93"/>
      <x:c r="B60" s="93"/>
      <x:c r="C60" s="93"/>
      <x:c r="D60" s="93"/>
      <x:c r="E60" s="93"/>
      <x:c r="F60" s="93"/>
      <x:c r="G60" s="93"/>
      <x:c r="H60" s="93"/>
      <x:c r="I60" s="93"/>
      <x:c r="J60" s="93"/>
    </x:row>
  </x:sheetData>
  <x:mergeCells>
    <x:mergeCell ref="A1:G1"/>
    <x:mergeCell ref="A2:G2"/>
  </x:mergeCells>
  <x:pageMargins left="0.7" right="0.7" top="0.75" bottom="0.75" header="0.3" footer="0.3"/>
  <x:drawing xmlns:r="http://schemas.openxmlformats.org/officeDocument/2006/relationships" r:id="R4df0ecff00964937"/>
</x:worksheet>
</file>